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7e7bbc586f65c1/MATLAB/PTA/EDB_2_Well/"/>
    </mc:Choice>
  </mc:AlternateContent>
  <xr:revisionPtr revIDLastSave="44" documentId="8_{15802886-91F9-45BC-B5FA-A069EC1DD610}" xr6:coauthVersionLast="47" xr6:coauthVersionMax="47" xr10:uidLastSave="{02CD6344-9F7F-4E0D-AD75-DAAED12556A3}"/>
  <bookViews>
    <workbookView xWindow="-120" yWindow="-120" windowWidth="29040" windowHeight="15720" activeTab="2" xr2:uid="{94C2F9DB-1E39-4886-85B1-4959A6433869}"/>
  </bookViews>
  <sheets>
    <sheet name="Information" sheetId="1" r:id="rId1"/>
    <sheet name="Injection_Note" sheetId="4" r:id="rId2"/>
    <sheet name="Rate_Schedule" sheetId="5" r:id="rId3"/>
    <sheet name="Injection_Schedule" sheetId="6" r:id="rId4"/>
    <sheet name="Rate_Schedule (2)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6" l="1"/>
  <c r="D54" i="6"/>
  <c r="D55" i="6"/>
  <c r="D56" i="6"/>
  <c r="D57" i="6"/>
  <c r="D58" i="6"/>
  <c r="B53" i="6"/>
  <c r="B54" i="6"/>
  <c r="B55" i="6"/>
  <c r="B56" i="6"/>
  <c r="B57" i="6"/>
  <c r="B58" i="6"/>
  <c r="P66" i="4"/>
  <c r="P67" i="4"/>
  <c r="C3" i="5"/>
  <c r="O43" i="4"/>
  <c r="J55" i="4"/>
  <c r="K55" i="4"/>
  <c r="L55" i="4"/>
  <c r="J56" i="4"/>
  <c r="K56" i="4"/>
  <c r="L56" i="4"/>
  <c r="J57" i="4"/>
  <c r="K57" i="4"/>
  <c r="L57" i="4"/>
  <c r="J58" i="4"/>
  <c r="K58" i="4"/>
  <c r="L58" i="4"/>
  <c r="J59" i="4"/>
  <c r="M59" i="4" s="1"/>
  <c r="K59" i="4"/>
  <c r="L59" i="4"/>
  <c r="J60" i="4"/>
  <c r="K60" i="4"/>
  <c r="L60" i="4"/>
  <c r="J61" i="4"/>
  <c r="K61" i="4"/>
  <c r="L61" i="4"/>
  <c r="M61" i="4" s="1"/>
  <c r="N61" i="4" s="1"/>
  <c r="J62" i="4"/>
  <c r="M62" i="4" s="1"/>
  <c r="N62" i="4" s="1"/>
  <c r="K62" i="4"/>
  <c r="L62" i="4"/>
  <c r="J63" i="4"/>
  <c r="K63" i="4"/>
  <c r="L63" i="4"/>
  <c r="J64" i="4"/>
  <c r="M64" i="4" s="1"/>
  <c r="N64" i="4" s="1"/>
  <c r="K64" i="4"/>
  <c r="L64" i="4"/>
  <c r="J65" i="4"/>
  <c r="M65" i="4" s="1"/>
  <c r="N65" i="4" s="1"/>
  <c r="K65" i="4"/>
  <c r="L65" i="4"/>
  <c r="J66" i="4"/>
  <c r="K66" i="4"/>
  <c r="L66" i="4"/>
  <c r="J67" i="4"/>
  <c r="M67" i="4" s="1"/>
  <c r="N67" i="4" s="1"/>
  <c r="K67" i="4"/>
  <c r="L67" i="4"/>
  <c r="M63" i="4"/>
  <c r="N63" i="4" s="1"/>
  <c r="M66" i="4"/>
  <c r="N66" i="4" s="1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14" i="4"/>
  <c r="O13" i="4"/>
  <c r="O12" i="4"/>
  <c r="P12" i="4"/>
  <c r="N11" i="4"/>
  <c r="M11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B43" i="6" s="1"/>
  <c r="H51" i="4"/>
  <c r="B42" i="6" s="1"/>
  <c r="H50" i="4"/>
  <c r="H49" i="4"/>
  <c r="H48" i="4"/>
  <c r="H47" i="4"/>
  <c r="H46" i="4"/>
  <c r="B37" i="6" s="1"/>
  <c r="H45" i="4"/>
  <c r="H44" i="4"/>
  <c r="B35" i="6" s="1"/>
  <c r="H43" i="4"/>
  <c r="H42" i="4"/>
  <c r="H41" i="4"/>
  <c r="H40" i="4"/>
  <c r="H39" i="4"/>
  <c r="H38" i="4"/>
  <c r="B29" i="6" s="1"/>
  <c r="H37" i="4"/>
  <c r="H36" i="4"/>
  <c r="B27" i="6" s="1"/>
  <c r="H35" i="4"/>
  <c r="B26" i="6" s="1"/>
  <c r="H34" i="4"/>
  <c r="H33" i="4"/>
  <c r="H32" i="4"/>
  <c r="H31" i="4"/>
  <c r="H30" i="4"/>
  <c r="B21" i="6" s="1"/>
  <c r="H29" i="4"/>
  <c r="H28" i="4"/>
  <c r="B19" i="6" s="1"/>
  <c r="H27" i="4"/>
  <c r="H26" i="4"/>
  <c r="H25" i="4"/>
  <c r="H24" i="4"/>
  <c r="H23" i="4"/>
  <c r="H22" i="4"/>
  <c r="B13" i="6" s="1"/>
  <c r="H21" i="4"/>
  <c r="H20" i="4"/>
  <c r="B11" i="6" s="1"/>
  <c r="H19" i="4"/>
  <c r="H18" i="4"/>
  <c r="H17" i="4"/>
  <c r="H16" i="4"/>
  <c r="H15" i="4"/>
  <c r="H14" i="4"/>
  <c r="B5" i="6" s="1"/>
  <c r="H13" i="4"/>
  <c r="G13" i="4"/>
  <c r="H12" i="4"/>
  <c r="B3" i="6" s="1"/>
  <c r="G12" i="4"/>
  <c r="B39" i="6"/>
  <c r="B38" i="6"/>
  <c r="B31" i="6"/>
  <c r="B24" i="6"/>
  <c r="B23" i="6"/>
  <c r="B22" i="6"/>
  <c r="B17" i="6"/>
  <c r="B16" i="6"/>
  <c r="B15" i="6"/>
  <c r="B14" i="6"/>
  <c r="B12" i="6"/>
  <c r="B9" i="6"/>
  <c r="B8" i="6"/>
  <c r="B7" i="6"/>
  <c r="B6" i="6"/>
  <c r="K11" i="4"/>
  <c r="B49" i="6"/>
  <c r="B48" i="6"/>
  <c r="B47" i="6"/>
  <c r="B46" i="6"/>
  <c r="B45" i="6"/>
  <c r="B28" i="6"/>
  <c r="B25" i="6"/>
  <c r="B4" i="6"/>
  <c r="B10" i="6"/>
  <c r="B18" i="6"/>
  <c r="B20" i="6"/>
  <c r="B30" i="6"/>
  <c r="B32" i="6"/>
  <c r="B33" i="6"/>
  <c r="B34" i="6"/>
  <c r="B36" i="6"/>
  <c r="B40" i="6"/>
  <c r="B41" i="6"/>
  <c r="B44" i="6"/>
  <c r="B50" i="6"/>
  <c r="B51" i="6"/>
  <c r="B5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2" i="6"/>
  <c r="P6" i="4"/>
  <c r="O6" i="4"/>
  <c r="M57" i="4"/>
  <c r="L54" i="4"/>
  <c r="K54" i="4"/>
  <c r="J54" i="4"/>
  <c r="L53" i="4"/>
  <c r="K53" i="4"/>
  <c r="J53" i="4"/>
  <c r="L52" i="4"/>
  <c r="K52" i="4"/>
  <c r="J52" i="4"/>
  <c r="L51" i="4"/>
  <c r="K51" i="4"/>
  <c r="J51" i="4"/>
  <c r="M51" i="4" s="1"/>
  <c r="L50" i="4"/>
  <c r="K50" i="4"/>
  <c r="J50" i="4"/>
  <c r="L49" i="4"/>
  <c r="K49" i="4"/>
  <c r="J49" i="4"/>
  <c r="L48" i="4"/>
  <c r="K48" i="4"/>
  <c r="J48" i="4"/>
  <c r="M48" i="4" s="1"/>
  <c r="L47" i="4"/>
  <c r="K47" i="4"/>
  <c r="J47" i="4"/>
  <c r="L46" i="4"/>
  <c r="K46" i="4"/>
  <c r="J46" i="4"/>
  <c r="L45" i="4"/>
  <c r="K45" i="4"/>
  <c r="J45" i="4"/>
  <c r="L44" i="4"/>
  <c r="K44" i="4"/>
  <c r="J44" i="4"/>
  <c r="M44" i="4" s="1"/>
  <c r="L43" i="4"/>
  <c r="K43" i="4"/>
  <c r="J43" i="4"/>
  <c r="L42" i="4"/>
  <c r="K42" i="4"/>
  <c r="J42" i="4"/>
  <c r="L41" i="4"/>
  <c r="K41" i="4"/>
  <c r="J41" i="4"/>
  <c r="L40" i="4"/>
  <c r="K40" i="4"/>
  <c r="J40" i="4"/>
  <c r="L39" i="4"/>
  <c r="K39" i="4"/>
  <c r="J39" i="4"/>
  <c r="L38" i="4"/>
  <c r="K38" i="4"/>
  <c r="J38" i="4"/>
  <c r="L37" i="4"/>
  <c r="K37" i="4"/>
  <c r="J37" i="4"/>
  <c r="L36" i="4"/>
  <c r="K36" i="4"/>
  <c r="J36" i="4"/>
  <c r="L35" i="4"/>
  <c r="K35" i="4"/>
  <c r="J35" i="4"/>
  <c r="L34" i="4"/>
  <c r="K34" i="4"/>
  <c r="J34" i="4"/>
  <c r="L33" i="4"/>
  <c r="K33" i="4"/>
  <c r="J33" i="4"/>
  <c r="L32" i="4"/>
  <c r="K32" i="4"/>
  <c r="J32" i="4"/>
  <c r="M32" i="4" s="1"/>
  <c r="L31" i="4"/>
  <c r="K31" i="4"/>
  <c r="J31" i="4"/>
  <c r="L30" i="4"/>
  <c r="K30" i="4"/>
  <c r="J30" i="4"/>
  <c r="L29" i="4"/>
  <c r="K29" i="4"/>
  <c r="J29" i="4"/>
  <c r="L28" i="4"/>
  <c r="K28" i="4"/>
  <c r="J28" i="4"/>
  <c r="L27" i="4"/>
  <c r="K27" i="4"/>
  <c r="J27" i="4"/>
  <c r="L26" i="4"/>
  <c r="K26" i="4"/>
  <c r="J26" i="4"/>
  <c r="L25" i="4"/>
  <c r="K25" i="4"/>
  <c r="J25" i="4"/>
  <c r="L24" i="4"/>
  <c r="K24" i="4"/>
  <c r="J24" i="4"/>
  <c r="L23" i="4"/>
  <c r="K23" i="4"/>
  <c r="J23" i="4"/>
  <c r="U22" i="4"/>
  <c r="L22" i="4"/>
  <c r="K22" i="4"/>
  <c r="J22" i="4"/>
  <c r="L21" i="4"/>
  <c r="K21" i="4"/>
  <c r="J21" i="4"/>
  <c r="L20" i="4"/>
  <c r="K20" i="4"/>
  <c r="J20" i="4"/>
  <c r="L19" i="4"/>
  <c r="K19" i="4"/>
  <c r="J19" i="4"/>
  <c r="L18" i="4"/>
  <c r="K18" i="4"/>
  <c r="J18" i="4"/>
  <c r="L17" i="4"/>
  <c r="K17" i="4"/>
  <c r="J17" i="4"/>
  <c r="L16" i="4"/>
  <c r="K16" i="4"/>
  <c r="J16" i="4"/>
  <c r="L15" i="4"/>
  <c r="K15" i="4"/>
  <c r="J15" i="4"/>
  <c r="L14" i="4"/>
  <c r="K14" i="4"/>
  <c r="J14" i="4"/>
  <c r="L13" i="4"/>
  <c r="K13" i="4"/>
  <c r="J13" i="4"/>
  <c r="L12" i="4"/>
  <c r="K12" i="4"/>
  <c r="J12" i="4"/>
  <c r="L11" i="4"/>
  <c r="J11" i="4"/>
  <c r="K6" i="4"/>
  <c r="O44" i="4" l="1"/>
  <c r="O60" i="4"/>
  <c r="O53" i="4"/>
  <c r="O45" i="4"/>
  <c r="O61" i="4"/>
  <c r="O52" i="4"/>
  <c r="O54" i="4"/>
  <c r="O46" i="4"/>
  <c r="O58" i="4"/>
  <c r="O47" i="4"/>
  <c r="O59" i="4"/>
  <c r="O48" i="4"/>
  <c r="O62" i="4"/>
  <c r="P62" i="4" s="1"/>
  <c r="O64" i="4"/>
  <c r="P64" i="4" s="1"/>
  <c r="O66" i="4"/>
  <c r="O49" i="4"/>
  <c r="O50" i="4"/>
  <c r="O57" i="4"/>
  <c r="O51" i="4"/>
  <c r="O67" i="4"/>
  <c r="O55" i="4"/>
  <c r="O56" i="4"/>
  <c r="O65" i="4"/>
  <c r="P65" i="4" s="1"/>
  <c r="O63" i="4"/>
  <c r="P63" i="4" s="1"/>
  <c r="M29" i="4"/>
  <c r="M40" i="4"/>
  <c r="N40" i="4" s="1"/>
  <c r="M20" i="4"/>
  <c r="M25" i="4"/>
  <c r="M41" i="4"/>
  <c r="M36" i="4"/>
  <c r="M52" i="4"/>
  <c r="G14" i="4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M31" i="4"/>
  <c r="M16" i="4"/>
  <c r="N16" i="4" s="1"/>
  <c r="M37" i="4"/>
  <c r="M22" i="4"/>
  <c r="N22" i="4" s="1"/>
  <c r="M27" i="4"/>
  <c r="M17" i="4"/>
  <c r="N17" i="4" s="1"/>
  <c r="M12" i="4"/>
  <c r="T16" i="4"/>
  <c r="U16" i="4" s="1"/>
  <c r="M35" i="4"/>
  <c r="N35" i="4" s="1"/>
  <c r="M49" i="4"/>
  <c r="M18" i="4"/>
  <c r="M60" i="4"/>
  <c r="N60" i="4" s="1"/>
  <c r="M55" i="4"/>
  <c r="N55" i="4" s="1"/>
  <c r="M53" i="4"/>
  <c r="N53" i="4" s="1"/>
  <c r="M14" i="4"/>
  <c r="M24" i="4"/>
  <c r="M45" i="4"/>
  <c r="N45" i="4" s="1"/>
  <c r="M28" i="4"/>
  <c r="N28" i="4" s="1"/>
  <c r="M38" i="4"/>
  <c r="N38" i="4" s="1"/>
  <c r="M50" i="4"/>
  <c r="N50" i="4" s="1"/>
  <c r="M42" i="4"/>
  <c r="N42" i="4" s="1"/>
  <c r="M13" i="4"/>
  <c r="N13" i="4" s="1"/>
  <c r="M33" i="4"/>
  <c r="N33" i="4" s="1"/>
  <c r="M43" i="4"/>
  <c r="N43" i="4" s="1"/>
  <c r="M23" i="4"/>
  <c r="N23" i="4" s="1"/>
  <c r="M46" i="4"/>
  <c r="M15" i="4"/>
  <c r="N15" i="4" s="1"/>
  <c r="M26" i="4"/>
  <c r="N26" i="4" s="1"/>
  <c r="M58" i="4"/>
  <c r="N58" i="4" s="1"/>
  <c r="M19" i="4"/>
  <c r="N19" i="4" s="1"/>
  <c r="M30" i="4"/>
  <c r="N30" i="4" s="1"/>
  <c r="M21" i="4"/>
  <c r="N21" i="4" s="1"/>
  <c r="M34" i="4"/>
  <c r="N34" i="4" s="1"/>
  <c r="M54" i="4"/>
  <c r="N54" i="4" s="1"/>
  <c r="M56" i="4"/>
  <c r="N56" i="4" s="1"/>
  <c r="N31" i="4"/>
  <c r="N27" i="4"/>
  <c r="N48" i="4"/>
  <c r="N37" i="4"/>
  <c r="N57" i="4"/>
  <c r="N59" i="4"/>
  <c r="N14" i="4"/>
  <c r="N18" i="4"/>
  <c r="N24" i="4"/>
  <c r="N46" i="4"/>
  <c r="N49" i="4"/>
  <c r="N51" i="4"/>
  <c r="N52" i="4"/>
  <c r="N25" i="4"/>
  <c r="N12" i="4"/>
  <c r="N29" i="4"/>
  <c r="N20" i="4"/>
  <c r="N41" i="4"/>
  <c r="N44" i="4"/>
  <c r="M47" i="4"/>
  <c r="N47" i="4" s="1"/>
  <c r="N32" i="4"/>
  <c r="N36" i="4"/>
  <c r="M39" i="4"/>
  <c r="N39" i="4" s="1"/>
  <c r="P15" i="4" l="1"/>
  <c r="P17" i="4"/>
  <c r="P16" i="4"/>
  <c r="P21" i="4"/>
  <c r="G44" i="4"/>
  <c r="G45" i="4" s="1"/>
  <c r="G46" i="4" s="1"/>
  <c r="P22" i="4"/>
  <c r="B7" i="7"/>
  <c r="B5" i="7"/>
  <c r="B8" i="7"/>
  <c r="B6" i="7"/>
  <c r="B9" i="7"/>
  <c r="C2" i="7"/>
  <c r="C2" i="5"/>
  <c r="B10" i="7"/>
  <c r="Q12" i="4"/>
  <c r="P20" i="4"/>
  <c r="P19" i="4"/>
  <c r="P14" i="4"/>
  <c r="P13" i="4"/>
  <c r="P18" i="4"/>
  <c r="G47" i="4" l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C4" i="5"/>
  <c r="C4" i="7"/>
  <c r="C3" i="7"/>
  <c r="H6" i="7" s="1"/>
  <c r="Q13" i="4"/>
  <c r="Q14" i="4" s="1"/>
  <c r="Q15" i="4" s="1"/>
  <c r="Q16" i="4" s="1"/>
  <c r="Q17" i="4" s="1"/>
  <c r="Q18" i="4" s="1"/>
  <c r="Q19" i="4" s="1"/>
  <c r="Q20" i="4" s="1"/>
  <c r="Q21" i="4" s="1"/>
  <c r="Q22" i="4" s="1"/>
  <c r="P26" i="4"/>
  <c r="P25" i="4"/>
  <c r="P24" i="4"/>
  <c r="P23" i="4"/>
  <c r="G62" i="4" l="1"/>
  <c r="G63" i="4" s="1"/>
  <c r="G64" i="4" s="1"/>
  <c r="G65" i="4" s="1"/>
  <c r="G66" i="4" s="1"/>
  <c r="C5" i="5"/>
  <c r="C5" i="7"/>
  <c r="P30" i="4"/>
  <c r="P32" i="4"/>
  <c r="P31" i="4"/>
  <c r="P28" i="4"/>
  <c r="P29" i="4"/>
  <c r="P27" i="4"/>
  <c r="Q23" i="4"/>
  <c r="Q24" i="4" s="1"/>
  <c r="Q25" i="4" s="1"/>
  <c r="Q26" i="4" s="1"/>
  <c r="P61" i="4" l="1"/>
  <c r="P33" i="4"/>
  <c r="C6" i="7"/>
  <c r="P50" i="4"/>
  <c r="P42" i="4"/>
  <c r="P34" i="4"/>
  <c r="P38" i="4"/>
  <c r="P57" i="4"/>
  <c r="P49" i="4"/>
  <c r="P41" i="4"/>
  <c r="P56" i="4"/>
  <c r="P48" i="4"/>
  <c r="P40" i="4"/>
  <c r="P47" i="4"/>
  <c r="P39" i="4"/>
  <c r="P54" i="4"/>
  <c r="P46" i="4"/>
  <c r="P44" i="4"/>
  <c r="P36" i="4"/>
  <c r="P53" i="4"/>
  <c r="P45" i="4"/>
  <c r="P37" i="4"/>
  <c r="P52" i="4"/>
  <c r="P35" i="4"/>
  <c r="P43" i="4"/>
  <c r="P51" i="4"/>
  <c r="Q27" i="4"/>
  <c r="Q28" i="4" s="1"/>
  <c r="Q29" i="4" s="1"/>
  <c r="Q30" i="4" s="1"/>
  <c r="Q31" i="4" s="1"/>
  <c r="Q32" i="4" s="1"/>
  <c r="Q33" i="4" l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P55" i="4"/>
  <c r="P58" i="4"/>
  <c r="C7" i="7"/>
  <c r="P60" i="4"/>
  <c r="P59" i="4"/>
  <c r="Q55" i="4" l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C8" i="7"/>
  <c r="C9" i="7" l="1"/>
  <c r="C10" i="7" l="1"/>
</calcChain>
</file>

<file path=xl/sharedStrings.xml><?xml version="1.0" encoding="utf-8"?>
<sst xmlns="http://schemas.openxmlformats.org/spreadsheetml/2006/main" count="66" uniqueCount="57">
  <si>
    <t>Flow_Rate</t>
  </si>
  <si>
    <t>Formation_Thickness</t>
  </si>
  <si>
    <t>Porosity</t>
  </si>
  <si>
    <t>Total_Compressibility</t>
  </si>
  <si>
    <t>FVF</t>
  </si>
  <si>
    <t>Viscosity</t>
  </si>
  <si>
    <t>Wellbore_Radius</t>
  </si>
  <si>
    <t>INJECTION NOTES</t>
  </si>
  <si>
    <r>
      <t xml:space="preserve">CONTRACT NO. </t>
    </r>
    <r>
      <rPr>
        <b/>
        <u/>
        <sz val="14"/>
        <color theme="1"/>
        <rFont val="Calibri"/>
        <family val="2"/>
        <scheme val="minor"/>
      </rPr>
      <t>EOGEPL/RG (EAST)-CBM-2001/1/MAPL-IFT/2021/01</t>
    </r>
  </si>
  <si>
    <t>WELL No</t>
  </si>
  <si>
    <t>START OF INJECTION</t>
  </si>
  <si>
    <t>WELL DIAMETER</t>
  </si>
  <si>
    <t>END OF INJECTION</t>
  </si>
  <si>
    <t>SEAM No</t>
  </si>
  <si>
    <t>To</t>
  </si>
  <si>
    <t>END OF FALL OFF</t>
  </si>
  <si>
    <t>IF TEST INTERVAL</t>
  </si>
  <si>
    <t>TOTAL INJECTED WATER</t>
  </si>
  <si>
    <t>FLOW METER</t>
  </si>
  <si>
    <t>WATER TANK PHYSICAL</t>
  </si>
  <si>
    <t>DATE</t>
  </si>
  <si>
    <t>TIME</t>
  </si>
  <si>
    <t>PRESSURE
(PSI)</t>
  </si>
  <si>
    <t>FLOW RATE
(LPM)</t>
  </si>
  <si>
    <t>TOTA WATER
PUMPED
(LITER)</t>
  </si>
  <si>
    <t>READING
(LITER)</t>
  </si>
  <si>
    <t>FLOW RATE 
(LPM)</t>
  </si>
  <si>
    <t>REMARK</t>
  </si>
  <si>
    <t>Time (hrs)</t>
  </si>
  <si>
    <t>Rate (LPM)</t>
  </si>
  <si>
    <t>Ltrs</t>
  </si>
  <si>
    <t>Injection Period</t>
  </si>
  <si>
    <t>min</t>
  </si>
  <si>
    <t>Average Flow Rate</t>
  </si>
  <si>
    <t>LPM</t>
  </si>
  <si>
    <t>Final Pressure</t>
  </si>
  <si>
    <t>PSI</t>
  </si>
  <si>
    <t>End_Time</t>
  </si>
  <si>
    <t>Hrs</t>
  </si>
  <si>
    <t>Rate_Actual_BPD</t>
  </si>
  <si>
    <t>Rate_Average_LPM</t>
  </si>
  <si>
    <t>Rate_Average_BPD</t>
  </si>
  <si>
    <t>Flow Period</t>
  </si>
  <si>
    <t>FlowRate</t>
  </si>
  <si>
    <t>Injection started</t>
  </si>
  <si>
    <t>Total Volume of water injected          :</t>
  </si>
  <si>
    <t>:</t>
  </si>
  <si>
    <t>Shut in pressure</t>
  </si>
  <si>
    <t>EDB-02</t>
  </si>
  <si>
    <t>JOB-I</t>
  </si>
  <si>
    <t>14:30:00 PM</t>
  </si>
  <si>
    <t>96 MM</t>
  </si>
  <si>
    <t>RN-III</t>
  </si>
  <si>
    <t>Packer inflated @ 1885 PSI</t>
  </si>
  <si>
    <t>Went into injection mode (Total Stroke Length 55 cm)</t>
  </si>
  <si>
    <t>Extra 5cm push down (Total stoke length 60cm)</t>
  </si>
  <si>
    <t>went to shut in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</si>
</sst>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1" fontId="0" fillId="0" borderId="0" xfId="0" applyNumberFormat="1"/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1" fontId="0" fillId="0" borderId="1" xfId="0" applyNumberForma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left"/>
    </xf>
    <xf numFmtId="2" fontId="0" fillId="0" borderId="1" xfId="0" applyNumberFormat="1" applyBorder="1" applyAlignment="1">
      <alignment horizontal="center"/>
    </xf>
    <xf numFmtId="0" fontId="1" fillId="0" borderId="9" xfId="0" applyFont="1" applyBorder="1"/>
    <xf numFmtId="0" fontId="0" fillId="0" borderId="10" xfId="0" applyBorder="1"/>
    <xf numFmtId="0" fontId="0" fillId="0" borderId="10" xfId="0" applyBorder="1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2" fontId="0" fillId="0" borderId="5" xfId="0" applyNumberFormat="1" applyBorder="1" applyAlignment="1">
      <alignment horizontal="right"/>
    </xf>
    <xf numFmtId="14" fontId="0" fillId="0" borderId="2" xfId="0" applyNumberForma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right"/>
    </xf>
    <xf numFmtId="0" fontId="0" fillId="0" borderId="16" xfId="0" applyBorder="1"/>
    <xf numFmtId="21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2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right"/>
    </xf>
    <xf numFmtId="0" fontId="0" fillId="0" borderId="20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14" xfId="0" applyBorder="1" applyAlignment="1">
      <alignment horizontal="right"/>
    </xf>
    <xf numFmtId="0" fontId="0" fillId="0" borderId="14" xfId="0" applyBorder="1" applyAlignment="1">
      <alignment horizontal="left"/>
    </xf>
    <xf numFmtId="2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2" fontId="0" fillId="0" borderId="19" xfId="0" applyNumberForma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Injection_Note!$B$12:$B$80</c:f>
              <c:numCache>
                <c:formatCode>h:mm:ss</c:formatCode>
                <c:ptCount val="69"/>
                <c:pt idx="0">
                  <c:v>1.0416666666666666E-2</c:v>
                </c:pt>
                <c:pt idx="1">
                  <c:v>1.3888888888888888E-2</c:v>
                </c:pt>
                <c:pt idx="2">
                  <c:v>2.0833333333333332E-2</c:v>
                </c:pt>
                <c:pt idx="3">
                  <c:v>2.7777777777777801E-2</c:v>
                </c:pt>
                <c:pt idx="4">
                  <c:v>3.4722222222222203E-2</c:v>
                </c:pt>
                <c:pt idx="5">
                  <c:v>4.1666666666666699E-2</c:v>
                </c:pt>
                <c:pt idx="6">
                  <c:v>4.8611111111111098E-2</c:v>
                </c:pt>
                <c:pt idx="7">
                  <c:v>5.5555555555555601E-2</c:v>
                </c:pt>
                <c:pt idx="8">
                  <c:v>6.25E-2</c:v>
                </c:pt>
                <c:pt idx="9">
                  <c:v>6.9444444444444503E-2</c:v>
                </c:pt>
                <c:pt idx="10">
                  <c:v>7.6388888888888895E-2</c:v>
                </c:pt>
                <c:pt idx="11">
                  <c:v>8.3333333333333301E-2</c:v>
                </c:pt>
                <c:pt idx="12">
                  <c:v>9.0277777777777804E-2</c:v>
                </c:pt>
                <c:pt idx="13">
                  <c:v>9.7222222222222196E-2</c:v>
                </c:pt>
                <c:pt idx="14">
                  <c:v>0.104166666666667</c:v>
                </c:pt>
                <c:pt idx="15">
                  <c:v>0.11111111111111099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0.131944444444445</c:v>
                </c:pt>
                <c:pt idx="19">
                  <c:v>0.13888888888888901</c:v>
                </c:pt>
                <c:pt idx="20">
                  <c:v>0.14583333333333301</c:v>
                </c:pt>
                <c:pt idx="21">
                  <c:v>0.15277777777777801</c:v>
                </c:pt>
                <c:pt idx="22">
                  <c:v>0.15972222222222199</c:v>
                </c:pt>
                <c:pt idx="23">
                  <c:v>0.16666666666666699</c:v>
                </c:pt>
                <c:pt idx="24">
                  <c:v>0.17361111111111099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0.194444444444445</c:v>
                </c:pt>
                <c:pt idx="28">
                  <c:v>0.20138888888888901</c:v>
                </c:pt>
                <c:pt idx="29">
                  <c:v>0.20833333333333301</c:v>
                </c:pt>
                <c:pt idx="30">
                  <c:v>0.21527777777777801</c:v>
                </c:pt>
                <c:pt idx="31">
                  <c:v>0.22222222222222199</c:v>
                </c:pt>
                <c:pt idx="32">
                  <c:v>0.22916666666666699</c:v>
                </c:pt>
                <c:pt idx="33">
                  <c:v>0.23611111111111099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0.25694444444444497</c:v>
                </c:pt>
                <c:pt idx="37">
                  <c:v>0.26388888888888901</c:v>
                </c:pt>
                <c:pt idx="38">
                  <c:v>0.27083333333333298</c:v>
                </c:pt>
                <c:pt idx="39">
                  <c:v>0.27777777777777801</c:v>
                </c:pt>
                <c:pt idx="40">
                  <c:v>0.28472222222222199</c:v>
                </c:pt>
                <c:pt idx="41">
                  <c:v>0.29166666666666702</c:v>
                </c:pt>
                <c:pt idx="42">
                  <c:v>0.29861111111111099</c:v>
                </c:pt>
                <c:pt idx="43">
                  <c:v>0.30555555555555602</c:v>
                </c:pt>
                <c:pt idx="44">
                  <c:v>0.3125</c:v>
                </c:pt>
                <c:pt idx="45">
                  <c:v>0.31944444444444497</c:v>
                </c:pt>
                <c:pt idx="46">
                  <c:v>0.32638888888888901</c:v>
                </c:pt>
                <c:pt idx="47">
                  <c:v>0.33333333333333298</c:v>
                </c:pt>
                <c:pt idx="48">
                  <c:v>0.34027777777777801</c:v>
                </c:pt>
                <c:pt idx="49">
                  <c:v>0.34722222222222099</c:v>
                </c:pt>
                <c:pt idx="50">
                  <c:v>0.35416666666666502</c:v>
                </c:pt>
                <c:pt idx="51">
                  <c:v>0.361111111111109</c:v>
                </c:pt>
                <c:pt idx="52">
                  <c:v>0.36805555555555303</c:v>
                </c:pt>
                <c:pt idx="53">
                  <c:v>0.374999999999997</c:v>
                </c:pt>
                <c:pt idx="54">
                  <c:v>0.38194444444444098</c:v>
                </c:pt>
                <c:pt idx="55">
                  <c:v>0.38442129629629629</c:v>
                </c:pt>
              </c:numCache>
            </c:numRef>
          </c:xVal>
          <c:yVal>
            <c:numRef>
              <c:f>Injection_Note!$H$12:$H$80</c:f>
              <c:numCache>
                <c:formatCode>0.00</c:formatCode>
                <c:ptCount val="69"/>
                <c:pt idx="0">
                  <c:v>0.32400000000000001</c:v>
                </c:pt>
                <c:pt idx="1">
                  <c:v>0.16200000000000001</c:v>
                </c:pt>
                <c:pt idx="2">
                  <c:v>0</c:v>
                </c:pt>
                <c:pt idx="3">
                  <c:v>0</c:v>
                </c:pt>
                <c:pt idx="4">
                  <c:v>8.1000000000000003E-2</c:v>
                </c:pt>
                <c:pt idx="5">
                  <c:v>0</c:v>
                </c:pt>
                <c:pt idx="6">
                  <c:v>8.1000000000000003E-2</c:v>
                </c:pt>
                <c:pt idx="7">
                  <c:v>8.1000000000000003E-2</c:v>
                </c:pt>
                <c:pt idx="8">
                  <c:v>0</c:v>
                </c:pt>
                <c:pt idx="9">
                  <c:v>0</c:v>
                </c:pt>
                <c:pt idx="10">
                  <c:v>8.1000000000000003E-2</c:v>
                </c:pt>
                <c:pt idx="11">
                  <c:v>8.1000000000000003E-2</c:v>
                </c:pt>
                <c:pt idx="12">
                  <c:v>0</c:v>
                </c:pt>
                <c:pt idx="13">
                  <c:v>8.1000000000000003E-2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8.1000000000000003E-2</c:v>
                </c:pt>
                <c:pt idx="18">
                  <c:v>0</c:v>
                </c:pt>
                <c:pt idx="19">
                  <c:v>8.1000000000000003E-2</c:v>
                </c:pt>
                <c:pt idx="20">
                  <c:v>8.1000000000000003E-2</c:v>
                </c:pt>
                <c:pt idx="21">
                  <c:v>0</c:v>
                </c:pt>
                <c:pt idx="22">
                  <c:v>8.1000000000000003E-2</c:v>
                </c:pt>
                <c:pt idx="23">
                  <c:v>0</c:v>
                </c:pt>
                <c:pt idx="24">
                  <c:v>0.16200000000000001</c:v>
                </c:pt>
                <c:pt idx="25">
                  <c:v>0</c:v>
                </c:pt>
                <c:pt idx="26">
                  <c:v>0</c:v>
                </c:pt>
                <c:pt idx="27">
                  <c:v>8.1000000000000003E-2</c:v>
                </c:pt>
                <c:pt idx="28">
                  <c:v>0</c:v>
                </c:pt>
                <c:pt idx="29">
                  <c:v>0</c:v>
                </c:pt>
                <c:pt idx="30">
                  <c:v>8.1000000000000003E-2</c:v>
                </c:pt>
                <c:pt idx="31">
                  <c:v>0.16200000000000001</c:v>
                </c:pt>
                <c:pt idx="32">
                  <c:v>0</c:v>
                </c:pt>
                <c:pt idx="33">
                  <c:v>0</c:v>
                </c:pt>
                <c:pt idx="34">
                  <c:v>0.16200000000000001</c:v>
                </c:pt>
                <c:pt idx="35">
                  <c:v>8.1000000000000003E-2</c:v>
                </c:pt>
                <c:pt idx="36">
                  <c:v>8.1000000000000003E-2</c:v>
                </c:pt>
                <c:pt idx="37">
                  <c:v>0</c:v>
                </c:pt>
                <c:pt idx="38">
                  <c:v>0</c:v>
                </c:pt>
                <c:pt idx="39">
                  <c:v>0.16200000000000001</c:v>
                </c:pt>
                <c:pt idx="40">
                  <c:v>0</c:v>
                </c:pt>
                <c:pt idx="41">
                  <c:v>8.1000000000000003E-2</c:v>
                </c:pt>
                <c:pt idx="42">
                  <c:v>0</c:v>
                </c:pt>
                <c:pt idx="43">
                  <c:v>8.1000000000000003E-2</c:v>
                </c:pt>
                <c:pt idx="44">
                  <c:v>8.1000000000000003E-2</c:v>
                </c:pt>
                <c:pt idx="45">
                  <c:v>0</c:v>
                </c:pt>
                <c:pt idx="46">
                  <c:v>8.1000000000000003E-2</c:v>
                </c:pt>
                <c:pt idx="47">
                  <c:v>8.1000000000000003E-2</c:v>
                </c:pt>
                <c:pt idx="48">
                  <c:v>0</c:v>
                </c:pt>
                <c:pt idx="49">
                  <c:v>8.1000000000000003E-2</c:v>
                </c:pt>
                <c:pt idx="50">
                  <c:v>0</c:v>
                </c:pt>
                <c:pt idx="51">
                  <c:v>8.1000000000000003E-2</c:v>
                </c:pt>
                <c:pt idx="52">
                  <c:v>8.1000000000000003E-2</c:v>
                </c:pt>
                <c:pt idx="53">
                  <c:v>8.1000000000000003E-2</c:v>
                </c:pt>
                <c:pt idx="54">
                  <c:v>8.1000000000000003E-2</c:v>
                </c:pt>
                <c:pt idx="59" formatCode="General">
                  <c:v>0</c:v>
                </c:pt>
                <c:pt idx="60" formatCode="General">
                  <c:v>0</c:v>
                </c:pt>
                <c:pt idx="61" formatCode="General">
                  <c:v>0</c:v>
                </c:pt>
                <c:pt idx="62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68-499C-91B9-718B1E0DA5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Injection_Note!$B$12:$B$80</c:f>
              <c:numCache>
                <c:formatCode>h:mm:ss</c:formatCode>
                <c:ptCount val="69"/>
                <c:pt idx="0">
                  <c:v>1.0416666666666666E-2</c:v>
                </c:pt>
                <c:pt idx="1">
                  <c:v>1.3888888888888888E-2</c:v>
                </c:pt>
                <c:pt idx="2">
                  <c:v>2.0833333333333332E-2</c:v>
                </c:pt>
                <c:pt idx="3">
                  <c:v>2.7777777777777801E-2</c:v>
                </c:pt>
                <c:pt idx="4">
                  <c:v>3.4722222222222203E-2</c:v>
                </c:pt>
                <c:pt idx="5">
                  <c:v>4.1666666666666699E-2</c:v>
                </c:pt>
                <c:pt idx="6">
                  <c:v>4.8611111111111098E-2</c:v>
                </c:pt>
                <c:pt idx="7">
                  <c:v>5.5555555555555601E-2</c:v>
                </c:pt>
                <c:pt idx="8">
                  <c:v>6.25E-2</c:v>
                </c:pt>
                <c:pt idx="9">
                  <c:v>6.9444444444444503E-2</c:v>
                </c:pt>
                <c:pt idx="10">
                  <c:v>7.6388888888888895E-2</c:v>
                </c:pt>
                <c:pt idx="11">
                  <c:v>8.3333333333333301E-2</c:v>
                </c:pt>
                <c:pt idx="12">
                  <c:v>9.0277777777777804E-2</c:v>
                </c:pt>
                <c:pt idx="13">
                  <c:v>9.7222222222222196E-2</c:v>
                </c:pt>
                <c:pt idx="14">
                  <c:v>0.104166666666667</c:v>
                </c:pt>
                <c:pt idx="15">
                  <c:v>0.11111111111111099</c:v>
                </c:pt>
                <c:pt idx="16">
                  <c:v>0.118055555555556</c:v>
                </c:pt>
                <c:pt idx="17">
                  <c:v>0.125</c:v>
                </c:pt>
                <c:pt idx="18">
                  <c:v>0.131944444444445</c:v>
                </c:pt>
                <c:pt idx="19">
                  <c:v>0.13888888888888901</c:v>
                </c:pt>
                <c:pt idx="20">
                  <c:v>0.14583333333333301</c:v>
                </c:pt>
                <c:pt idx="21">
                  <c:v>0.15277777777777801</c:v>
                </c:pt>
                <c:pt idx="22">
                  <c:v>0.15972222222222199</c:v>
                </c:pt>
                <c:pt idx="23">
                  <c:v>0.16666666666666699</c:v>
                </c:pt>
                <c:pt idx="24">
                  <c:v>0.17361111111111099</c:v>
                </c:pt>
                <c:pt idx="25">
                  <c:v>0.180555555555556</c:v>
                </c:pt>
                <c:pt idx="26">
                  <c:v>0.1875</c:v>
                </c:pt>
                <c:pt idx="27">
                  <c:v>0.194444444444445</c:v>
                </c:pt>
                <c:pt idx="28">
                  <c:v>0.20138888888888901</c:v>
                </c:pt>
                <c:pt idx="29">
                  <c:v>0.20833333333333301</c:v>
                </c:pt>
                <c:pt idx="30">
                  <c:v>0.21527777777777801</c:v>
                </c:pt>
                <c:pt idx="31">
                  <c:v>0.22222222222222199</c:v>
                </c:pt>
                <c:pt idx="32">
                  <c:v>0.22916666666666699</c:v>
                </c:pt>
                <c:pt idx="33">
                  <c:v>0.23611111111111099</c:v>
                </c:pt>
                <c:pt idx="34">
                  <c:v>0.243055555555556</c:v>
                </c:pt>
                <c:pt idx="35">
                  <c:v>0.25</c:v>
                </c:pt>
                <c:pt idx="36">
                  <c:v>0.25694444444444497</c:v>
                </c:pt>
                <c:pt idx="37">
                  <c:v>0.26388888888888901</c:v>
                </c:pt>
                <c:pt idx="38">
                  <c:v>0.27083333333333298</c:v>
                </c:pt>
                <c:pt idx="39">
                  <c:v>0.27777777777777801</c:v>
                </c:pt>
                <c:pt idx="40">
                  <c:v>0.28472222222222199</c:v>
                </c:pt>
                <c:pt idx="41">
                  <c:v>0.29166666666666702</c:v>
                </c:pt>
                <c:pt idx="42">
                  <c:v>0.29861111111111099</c:v>
                </c:pt>
                <c:pt idx="43">
                  <c:v>0.30555555555555602</c:v>
                </c:pt>
                <c:pt idx="44">
                  <c:v>0.3125</c:v>
                </c:pt>
                <c:pt idx="45">
                  <c:v>0.31944444444444497</c:v>
                </c:pt>
                <c:pt idx="46">
                  <c:v>0.32638888888888901</c:v>
                </c:pt>
                <c:pt idx="47">
                  <c:v>0.33333333333333298</c:v>
                </c:pt>
                <c:pt idx="48">
                  <c:v>0.34027777777777801</c:v>
                </c:pt>
                <c:pt idx="49">
                  <c:v>0.34722222222222099</c:v>
                </c:pt>
                <c:pt idx="50">
                  <c:v>0.35416666666666502</c:v>
                </c:pt>
                <c:pt idx="51">
                  <c:v>0.361111111111109</c:v>
                </c:pt>
                <c:pt idx="52">
                  <c:v>0.36805555555555303</c:v>
                </c:pt>
                <c:pt idx="53">
                  <c:v>0.374999999999997</c:v>
                </c:pt>
                <c:pt idx="54">
                  <c:v>0.38194444444444098</c:v>
                </c:pt>
                <c:pt idx="55">
                  <c:v>0.38442129629629629</c:v>
                </c:pt>
              </c:numCache>
            </c:numRef>
          </c:xVal>
          <c:yVal>
            <c:numRef>
              <c:f>Injection_Note!$O$12:$O$80</c:f>
              <c:numCache>
                <c:formatCode>General</c:formatCode>
                <c:ptCount val="69"/>
                <c:pt idx="0">
                  <c:v>0.24300000000000002</c:v>
                </c:pt>
                <c:pt idx="1">
                  <c:v>0.24300000000000002</c:v>
                </c:pt>
                <c:pt idx="2">
                  <c:v>3.8440677966101719E-2</c:v>
                </c:pt>
                <c:pt idx="3">
                  <c:v>3.8440677966101719E-2</c:v>
                </c:pt>
                <c:pt idx="4">
                  <c:v>3.8440677966101719E-2</c:v>
                </c:pt>
                <c:pt idx="5">
                  <c:v>3.8440677966101719E-2</c:v>
                </c:pt>
                <c:pt idx="6">
                  <c:v>3.8440677966101719E-2</c:v>
                </c:pt>
                <c:pt idx="7">
                  <c:v>3.8440677966101719E-2</c:v>
                </c:pt>
                <c:pt idx="8">
                  <c:v>3.8440677966101719E-2</c:v>
                </c:pt>
                <c:pt idx="9">
                  <c:v>3.8440677966101719E-2</c:v>
                </c:pt>
                <c:pt idx="10">
                  <c:v>3.8440677966101719E-2</c:v>
                </c:pt>
                <c:pt idx="11">
                  <c:v>3.8440677966101719E-2</c:v>
                </c:pt>
                <c:pt idx="12">
                  <c:v>3.8440677966101719E-2</c:v>
                </c:pt>
                <c:pt idx="13">
                  <c:v>3.8440677966101719E-2</c:v>
                </c:pt>
                <c:pt idx="14">
                  <c:v>3.8440677966101719E-2</c:v>
                </c:pt>
                <c:pt idx="15">
                  <c:v>3.8440677966101719E-2</c:v>
                </c:pt>
                <c:pt idx="16">
                  <c:v>3.8440677966101719E-2</c:v>
                </c:pt>
                <c:pt idx="17">
                  <c:v>3.8440677966101719E-2</c:v>
                </c:pt>
                <c:pt idx="18">
                  <c:v>3.8440677966101719E-2</c:v>
                </c:pt>
                <c:pt idx="19">
                  <c:v>3.8440677966101719E-2</c:v>
                </c:pt>
                <c:pt idx="20">
                  <c:v>3.8440677966101719E-2</c:v>
                </c:pt>
                <c:pt idx="21">
                  <c:v>3.8440677966101719E-2</c:v>
                </c:pt>
                <c:pt idx="22">
                  <c:v>3.8440677966101719E-2</c:v>
                </c:pt>
                <c:pt idx="23">
                  <c:v>3.8440677966101719E-2</c:v>
                </c:pt>
                <c:pt idx="24">
                  <c:v>3.8440677966101719E-2</c:v>
                </c:pt>
                <c:pt idx="25">
                  <c:v>3.8440677966101719E-2</c:v>
                </c:pt>
                <c:pt idx="26">
                  <c:v>3.8440677966101719E-2</c:v>
                </c:pt>
                <c:pt idx="27">
                  <c:v>3.8440677966101719E-2</c:v>
                </c:pt>
                <c:pt idx="28">
                  <c:v>3.8440677966101719E-2</c:v>
                </c:pt>
                <c:pt idx="29">
                  <c:v>3.8440677966101719E-2</c:v>
                </c:pt>
                <c:pt idx="30">
                  <c:v>3.8440677966101719E-2</c:v>
                </c:pt>
                <c:pt idx="31">
                  <c:v>6.074999999999995E-2</c:v>
                </c:pt>
                <c:pt idx="32">
                  <c:v>6.074999999999995E-2</c:v>
                </c:pt>
                <c:pt idx="33">
                  <c:v>6.074999999999995E-2</c:v>
                </c:pt>
                <c:pt idx="34">
                  <c:v>6.074999999999995E-2</c:v>
                </c:pt>
                <c:pt idx="35">
                  <c:v>6.074999999999995E-2</c:v>
                </c:pt>
                <c:pt idx="36">
                  <c:v>6.074999999999995E-2</c:v>
                </c:pt>
                <c:pt idx="37">
                  <c:v>6.074999999999995E-2</c:v>
                </c:pt>
                <c:pt idx="38">
                  <c:v>6.074999999999995E-2</c:v>
                </c:pt>
                <c:pt idx="39">
                  <c:v>6.074999999999995E-2</c:v>
                </c:pt>
                <c:pt idx="40">
                  <c:v>6.074999999999995E-2</c:v>
                </c:pt>
                <c:pt idx="41">
                  <c:v>6.074999999999995E-2</c:v>
                </c:pt>
                <c:pt idx="42">
                  <c:v>6.074999999999995E-2</c:v>
                </c:pt>
                <c:pt idx="43">
                  <c:v>6.074999999999995E-2</c:v>
                </c:pt>
                <c:pt idx="44">
                  <c:v>6.074999999999995E-2</c:v>
                </c:pt>
                <c:pt idx="45">
                  <c:v>6.074999999999995E-2</c:v>
                </c:pt>
                <c:pt idx="46">
                  <c:v>6.074999999999995E-2</c:v>
                </c:pt>
                <c:pt idx="47">
                  <c:v>6.074999999999995E-2</c:v>
                </c:pt>
                <c:pt idx="48">
                  <c:v>6.074999999999995E-2</c:v>
                </c:pt>
                <c:pt idx="49">
                  <c:v>6.074999999999995E-2</c:v>
                </c:pt>
                <c:pt idx="50">
                  <c:v>6.074999999999995E-2</c:v>
                </c:pt>
                <c:pt idx="51">
                  <c:v>6.074999999999995E-2</c:v>
                </c:pt>
                <c:pt idx="52">
                  <c:v>6.074999999999995E-2</c:v>
                </c:pt>
                <c:pt idx="53">
                  <c:v>6.074999999999995E-2</c:v>
                </c:pt>
                <c:pt idx="54">
                  <c:v>6.074999999999995E-2</c:v>
                </c:pt>
                <c:pt idx="55">
                  <c:v>6.074999999999995E-2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68-499C-91B9-718B1E0DA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927952"/>
        <c:axId val="713926872"/>
      </c:scatterChart>
      <c:valAx>
        <c:axId val="71392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926872"/>
        <c:crosses val="autoZero"/>
        <c:crossBetween val="midCat"/>
      </c:valAx>
      <c:valAx>
        <c:axId val="713926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92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16</xdr:row>
      <xdr:rowOff>61912</xdr:rowOff>
    </xdr:from>
    <xdr:to>
      <xdr:col>6</xdr:col>
      <xdr:colOff>104775</xdr:colOff>
      <xdr:row>30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E6C696-2C30-42A1-A1FD-1C79C25CB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B9C9-3B63-4267-A9A9-3DCB4172121B}">
  <dimension ref="A1:G2"/>
  <sheetViews>
    <sheetView workbookViewId="0">
      <selection activeCell="K15" sqref="K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3">
        <v>0.55039499999999997</v>
      </c>
      <c r="B2">
        <v>26.248000000000001</v>
      </c>
      <c r="C2">
        <v>0.02</v>
      </c>
      <c r="D2" s="1">
        <v>1.7E-6</v>
      </c>
      <c r="E2">
        <v>1</v>
      </c>
      <c r="F2">
        <v>0.6</v>
      </c>
      <c r="G2">
        <v>0.15748000000000001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5FB7-91DB-43B6-947C-AB87466D993E}">
  <dimension ref="A1:U106"/>
  <sheetViews>
    <sheetView topLeftCell="A48" workbookViewId="0">
      <selection activeCell="O11" sqref="O11:O67"/>
    </sheetView>
  </sheetViews>
  <sheetFormatPr defaultRowHeight="15" x14ac:dyDescent="0.25"/>
  <cols>
    <col min="1" max="1" width="15.42578125" customWidth="1"/>
    <col min="2" max="2" width="8.140625" customWidth="1"/>
    <col min="3" max="3" width="9.85546875" customWidth="1"/>
    <col min="4" max="4" width="7.7109375" customWidth="1"/>
    <col min="5" max="5" width="12.5703125" bestFit="1" customWidth="1"/>
    <col min="6" max="6" width="21.7109375" customWidth="1"/>
    <col min="7" max="7" width="11.42578125" customWidth="1"/>
    <col min="8" max="8" width="9.28515625" customWidth="1"/>
    <col min="9" max="9" width="36.5703125" customWidth="1"/>
  </cols>
  <sheetData>
    <row r="1" spans="1:21" ht="26.25" x14ac:dyDescent="0.4">
      <c r="A1" s="54" t="s">
        <v>7</v>
      </c>
      <c r="B1" s="55"/>
      <c r="C1" s="55"/>
      <c r="D1" s="55"/>
      <c r="E1" s="55"/>
      <c r="F1" s="55"/>
      <c r="G1" s="55"/>
      <c r="H1" s="55"/>
      <c r="I1" s="56"/>
    </row>
    <row r="2" spans="1:21" ht="18.75" x14ac:dyDescent="0.3">
      <c r="A2" s="57" t="s">
        <v>8</v>
      </c>
      <c r="B2" s="58"/>
      <c r="C2" s="58"/>
      <c r="D2" s="58"/>
      <c r="E2" s="58"/>
      <c r="F2" s="58"/>
      <c r="G2" s="58"/>
      <c r="H2" s="58"/>
      <c r="I2" s="59"/>
    </row>
    <row r="3" spans="1:21" x14ac:dyDescent="0.25">
      <c r="A3" s="11" t="s">
        <v>9</v>
      </c>
      <c r="B3" s="47" t="s">
        <v>48</v>
      </c>
      <c r="C3" s="48"/>
      <c r="D3" s="47" t="s">
        <v>49</v>
      </c>
      <c r="E3" s="48"/>
      <c r="F3" s="6" t="s">
        <v>10</v>
      </c>
      <c r="G3" s="53">
        <v>45475</v>
      </c>
      <c r="H3" s="48"/>
      <c r="I3" s="15" t="s">
        <v>50</v>
      </c>
    </row>
    <row r="4" spans="1:21" x14ac:dyDescent="0.25">
      <c r="A4" s="11" t="s">
        <v>11</v>
      </c>
      <c r="B4" s="2" t="s">
        <v>51</v>
      </c>
      <c r="C4" s="3"/>
      <c r="D4" s="47"/>
      <c r="E4" s="48"/>
      <c r="F4" s="6" t="s">
        <v>12</v>
      </c>
      <c r="G4" s="53">
        <v>45475</v>
      </c>
      <c r="H4" s="48"/>
      <c r="I4" s="15">
        <v>0.10416666666666667</v>
      </c>
    </row>
    <row r="5" spans="1:21" x14ac:dyDescent="0.25">
      <c r="A5" s="11" t="s">
        <v>13</v>
      </c>
      <c r="B5" s="4" t="s">
        <v>52</v>
      </c>
      <c r="C5" s="7">
        <v>1018</v>
      </c>
      <c r="D5" s="7" t="s">
        <v>14</v>
      </c>
      <c r="E5" s="7">
        <v>1026</v>
      </c>
      <c r="F5" s="6" t="s">
        <v>15</v>
      </c>
      <c r="G5" s="47"/>
      <c r="H5" s="48"/>
      <c r="I5" s="15"/>
    </row>
    <row r="6" spans="1:21" x14ac:dyDescent="0.25">
      <c r="A6" s="11" t="s">
        <v>16</v>
      </c>
      <c r="B6" s="6"/>
      <c r="C6" s="7">
        <v>1017.5</v>
      </c>
      <c r="D6" s="7" t="s">
        <v>14</v>
      </c>
      <c r="E6" s="7">
        <v>1026.7</v>
      </c>
      <c r="F6" s="17" t="s">
        <v>17</v>
      </c>
      <c r="G6" s="49"/>
      <c r="H6" s="50"/>
      <c r="I6" s="15"/>
      <c r="K6">
        <f>E6-C6</f>
        <v>9.2000000000000455</v>
      </c>
      <c r="O6">
        <f>1058.2-1048.1</f>
        <v>10.100000000000136</v>
      </c>
      <c r="P6">
        <f>O6*3.281</f>
        <v>33.138100000000449</v>
      </c>
    </row>
    <row r="7" spans="1:21" x14ac:dyDescent="0.25">
      <c r="A7" s="11"/>
      <c r="B7" s="6"/>
      <c r="C7" s="6"/>
      <c r="D7" s="47" t="s">
        <v>18</v>
      </c>
      <c r="E7" s="48"/>
      <c r="F7" s="47" t="s">
        <v>19</v>
      </c>
      <c r="G7" s="51"/>
      <c r="H7" s="48"/>
      <c r="I7" s="12"/>
    </row>
    <row r="8" spans="1:21" ht="60" x14ac:dyDescent="0.25">
      <c r="A8" s="13" t="s">
        <v>20</v>
      </c>
      <c r="B8" s="7" t="s">
        <v>21</v>
      </c>
      <c r="C8" s="8" t="s">
        <v>22</v>
      </c>
      <c r="D8" s="8" t="s">
        <v>23</v>
      </c>
      <c r="E8" s="8" t="s">
        <v>24</v>
      </c>
      <c r="F8" s="8" t="s">
        <v>25</v>
      </c>
      <c r="G8" s="8" t="s">
        <v>24</v>
      </c>
      <c r="H8" s="8" t="s">
        <v>26</v>
      </c>
      <c r="I8" s="14" t="s">
        <v>27</v>
      </c>
    </row>
    <row r="9" spans="1:21" x14ac:dyDescent="0.25">
      <c r="A9" s="34">
        <v>45475</v>
      </c>
      <c r="B9" s="10">
        <v>0.99930555555555556</v>
      </c>
      <c r="C9" s="9"/>
      <c r="D9" s="9"/>
      <c r="E9" s="9"/>
      <c r="F9" s="9"/>
      <c r="G9" s="9"/>
      <c r="H9" s="9"/>
      <c r="I9" s="5" t="s">
        <v>53</v>
      </c>
    </row>
    <row r="10" spans="1:21" x14ac:dyDescent="0.25">
      <c r="A10" s="34">
        <v>45476</v>
      </c>
      <c r="B10" s="10">
        <v>2.0833333333333333E-3</v>
      </c>
      <c r="C10" s="9"/>
      <c r="D10" s="9"/>
      <c r="E10" s="9"/>
      <c r="F10" s="9"/>
      <c r="G10" s="9"/>
      <c r="H10" s="9"/>
      <c r="I10" s="5" t="s">
        <v>54</v>
      </c>
      <c r="N10" t="s">
        <v>28</v>
      </c>
      <c r="O10" t="s">
        <v>29</v>
      </c>
    </row>
    <row r="11" spans="1:21" x14ac:dyDescent="0.25">
      <c r="A11" s="34"/>
      <c r="B11" s="43">
        <v>6.9444444444444441E-3</v>
      </c>
      <c r="C11" s="44"/>
      <c r="D11" s="44"/>
      <c r="E11" s="44"/>
      <c r="F11" s="44"/>
      <c r="G11" s="44"/>
      <c r="H11" s="44"/>
      <c r="I11" s="45" t="s">
        <v>44</v>
      </c>
      <c r="J11" s="33">
        <f>HOUR(B11)</f>
        <v>0</v>
      </c>
      <c r="K11">
        <f>MINUTE(B11)</f>
        <v>10</v>
      </c>
      <c r="L11">
        <f>SECOND(B11)</f>
        <v>0</v>
      </c>
      <c r="M11">
        <f>J11+(K11/60)+(L11/3600)</f>
        <v>0.16666666666666666</v>
      </c>
      <c r="N11">
        <f>M11-$M$11</f>
        <v>0</v>
      </c>
      <c r="O11">
        <v>0</v>
      </c>
      <c r="P11">
        <v>0</v>
      </c>
      <c r="Q11">
        <v>0</v>
      </c>
    </row>
    <row r="12" spans="1:21" x14ac:dyDescent="0.25">
      <c r="A12" s="34"/>
      <c r="B12" s="10">
        <v>1.0416666666666666E-2</v>
      </c>
      <c r="C12" s="9">
        <v>53</v>
      </c>
      <c r="D12" s="9"/>
      <c r="E12" s="9"/>
      <c r="F12" s="16">
        <v>1.62</v>
      </c>
      <c r="G12" s="16">
        <f>F12</f>
        <v>1.62</v>
      </c>
      <c r="H12" s="16">
        <f>F12/5</f>
        <v>0.32400000000000001</v>
      </c>
      <c r="I12" s="5"/>
      <c r="J12" s="33">
        <f>HOUR(B12)</f>
        <v>0</v>
      </c>
      <c r="K12">
        <f>MINUTE(B12)</f>
        <v>15</v>
      </c>
      <c r="L12">
        <f>SECOND(B12)</f>
        <v>0</v>
      </c>
      <c r="M12">
        <f>J12+(K12/60)+(L12/3600)</f>
        <v>0.25</v>
      </c>
      <c r="N12">
        <f t="shared" ref="N12:N60" si="0">M12-$M$11</f>
        <v>8.3333333333333343E-2</v>
      </c>
      <c r="O12">
        <f>($G$13-$G$11)/($N$13-$N$11)/60</f>
        <v>0.24300000000000002</v>
      </c>
      <c r="P12">
        <f>O12*(N12-N11)*60</f>
        <v>1.2150000000000003</v>
      </c>
      <c r="Q12">
        <f>Q11+P12</f>
        <v>1.2150000000000003</v>
      </c>
    </row>
    <row r="13" spans="1:21" x14ac:dyDescent="0.25">
      <c r="A13" s="34"/>
      <c r="B13" s="10">
        <v>1.3888888888888888E-2</v>
      </c>
      <c r="C13" s="9">
        <v>86</v>
      </c>
      <c r="D13" s="9"/>
      <c r="E13" s="9"/>
      <c r="F13" s="16">
        <v>0.81</v>
      </c>
      <c r="G13" s="16">
        <f>G12+F13</f>
        <v>2.4300000000000002</v>
      </c>
      <c r="H13" s="16">
        <f>F13/5</f>
        <v>0.16200000000000001</v>
      </c>
      <c r="I13" s="5"/>
      <c r="J13" s="33">
        <f t="shared" ref="J13:J54" si="1">HOUR(B13)</f>
        <v>0</v>
      </c>
      <c r="K13">
        <f t="shared" ref="K13:K54" si="2">MINUTE(B13)</f>
        <v>20</v>
      </c>
      <c r="L13">
        <f t="shared" ref="L13:L54" si="3">SECOND(B13)</f>
        <v>0</v>
      </c>
      <c r="M13">
        <f t="shared" ref="M13:M61" si="4">J13+(K13/60)+(L13/3600)</f>
        <v>0.33333333333333331</v>
      </c>
      <c r="N13">
        <f t="shared" si="0"/>
        <v>0.16666666666666666</v>
      </c>
      <c r="O13">
        <f>($G$13-$G$11)/($N$13-$N$11)/60</f>
        <v>0.24300000000000002</v>
      </c>
      <c r="P13">
        <f t="shared" ref="P13:P60" si="5">O13*(N13-N12)*60</f>
        <v>1.2149999999999999</v>
      </c>
      <c r="Q13">
        <f t="shared" ref="Q13:Q60" si="6">Q12+P13</f>
        <v>2.4300000000000002</v>
      </c>
    </row>
    <row r="14" spans="1:21" x14ac:dyDescent="0.25">
      <c r="A14" s="34"/>
      <c r="B14" s="10">
        <v>2.0833333333333332E-2</v>
      </c>
      <c r="C14" s="9">
        <v>114</v>
      </c>
      <c r="D14" s="9"/>
      <c r="E14" s="9"/>
      <c r="F14" s="16">
        <v>0</v>
      </c>
      <c r="G14" s="16">
        <f>G13+F14</f>
        <v>2.4300000000000002</v>
      </c>
      <c r="H14" s="16">
        <f>F14/10</f>
        <v>0</v>
      </c>
      <c r="I14" s="5"/>
      <c r="J14" s="33">
        <f t="shared" si="1"/>
        <v>0</v>
      </c>
      <c r="K14">
        <f t="shared" si="2"/>
        <v>30</v>
      </c>
      <c r="L14">
        <f t="shared" si="3"/>
        <v>0</v>
      </c>
      <c r="M14">
        <f t="shared" si="4"/>
        <v>0.5</v>
      </c>
      <c r="N14">
        <f t="shared" si="0"/>
        <v>0.33333333333333337</v>
      </c>
      <c r="O14">
        <f>($G$42-$G$13)/($N$42-$N$12)/60</f>
        <v>3.8440677966101719E-2</v>
      </c>
      <c r="P14">
        <f t="shared" si="5"/>
        <v>0.38440677966101733</v>
      </c>
      <c r="Q14">
        <f t="shared" si="6"/>
        <v>2.8144067796610175</v>
      </c>
    </row>
    <row r="15" spans="1:21" x14ac:dyDescent="0.25">
      <c r="A15" s="34"/>
      <c r="B15" s="10">
        <v>2.7777777777777801E-2</v>
      </c>
      <c r="C15" s="9">
        <v>134</v>
      </c>
      <c r="D15" s="9"/>
      <c r="E15" s="9"/>
      <c r="F15" s="16">
        <v>0</v>
      </c>
      <c r="G15" s="16">
        <f>G14+F15</f>
        <v>2.4300000000000002</v>
      </c>
      <c r="H15" s="16">
        <f>F15/10</f>
        <v>0</v>
      </c>
      <c r="I15" s="5"/>
      <c r="J15" s="33">
        <f t="shared" si="1"/>
        <v>0</v>
      </c>
      <c r="K15">
        <f t="shared" si="2"/>
        <v>40</v>
      </c>
      <c r="L15">
        <f t="shared" si="3"/>
        <v>0</v>
      </c>
      <c r="M15">
        <f t="shared" si="4"/>
        <v>0.66666666666666663</v>
      </c>
      <c r="N15">
        <f t="shared" si="0"/>
        <v>0.5</v>
      </c>
      <c r="O15">
        <f t="shared" ref="O15:O42" si="7">($G$42-$G$13)/($N$42-$N$12)/60</f>
        <v>3.8440677966101719E-2</v>
      </c>
      <c r="P15">
        <f t="shared" si="5"/>
        <v>0.38440677966101711</v>
      </c>
      <c r="Q15">
        <f t="shared" si="6"/>
        <v>3.1988135593220344</v>
      </c>
    </row>
    <row r="16" spans="1:21" x14ac:dyDescent="0.25">
      <c r="A16" s="34"/>
      <c r="B16" s="10">
        <v>3.4722222222222203E-2</v>
      </c>
      <c r="C16" s="9">
        <v>191</v>
      </c>
      <c r="D16" s="9"/>
      <c r="E16" s="9"/>
      <c r="F16" s="16">
        <v>0.81</v>
      </c>
      <c r="G16" s="16">
        <f>G15+F16</f>
        <v>3.24</v>
      </c>
      <c r="H16" s="16">
        <f>F16/10</f>
        <v>8.1000000000000003E-2</v>
      </c>
      <c r="I16" s="5"/>
      <c r="J16" s="33">
        <f t="shared" si="1"/>
        <v>0</v>
      </c>
      <c r="K16">
        <f t="shared" si="2"/>
        <v>50</v>
      </c>
      <c r="L16">
        <f t="shared" si="3"/>
        <v>0</v>
      </c>
      <c r="M16">
        <f t="shared" si="4"/>
        <v>0.83333333333333337</v>
      </c>
      <c r="N16">
        <f t="shared" si="0"/>
        <v>0.66666666666666674</v>
      </c>
      <c r="O16">
        <f t="shared" si="7"/>
        <v>3.8440677966101719E-2</v>
      </c>
      <c r="P16">
        <f t="shared" si="5"/>
        <v>0.38440677966101738</v>
      </c>
      <c r="Q16">
        <f t="shared" si="6"/>
        <v>3.5832203389830517</v>
      </c>
      <c r="T16">
        <f>PERCENTILE(H12:H80,0.5)</f>
        <v>8.1000000000000003E-2</v>
      </c>
      <c r="U16">
        <f>T16*9.06</f>
        <v>0.73386000000000007</v>
      </c>
    </row>
    <row r="17" spans="1:21" x14ac:dyDescent="0.25">
      <c r="A17" s="34"/>
      <c r="B17" s="10">
        <v>4.1666666666666699E-2</v>
      </c>
      <c r="C17" s="9">
        <v>239</v>
      </c>
      <c r="D17" s="9"/>
      <c r="E17" s="9"/>
      <c r="F17" s="16">
        <v>0</v>
      </c>
      <c r="G17" s="16">
        <f t="shared" ref="G17:G66" si="8">G16+F17</f>
        <v>3.24</v>
      </c>
      <c r="H17" s="16">
        <f t="shared" ref="H17:H66" si="9">F17/10</f>
        <v>0</v>
      </c>
      <c r="I17" s="5"/>
      <c r="J17" s="33">
        <f t="shared" si="1"/>
        <v>1</v>
      </c>
      <c r="K17">
        <f t="shared" si="2"/>
        <v>0</v>
      </c>
      <c r="L17">
        <f t="shared" si="3"/>
        <v>0</v>
      </c>
      <c r="M17">
        <f t="shared" si="4"/>
        <v>1</v>
      </c>
      <c r="N17">
        <f t="shared" si="0"/>
        <v>0.83333333333333337</v>
      </c>
      <c r="O17">
        <f t="shared" si="7"/>
        <v>3.8440677966101719E-2</v>
      </c>
      <c r="P17">
        <f t="shared" si="5"/>
        <v>0.38440677966101711</v>
      </c>
      <c r="Q17">
        <f t="shared" si="6"/>
        <v>3.967627118644069</v>
      </c>
    </row>
    <row r="18" spans="1:21" x14ac:dyDescent="0.25">
      <c r="A18" s="34"/>
      <c r="B18" s="10">
        <v>4.8611111111111098E-2</v>
      </c>
      <c r="C18" s="9">
        <v>286</v>
      </c>
      <c r="D18" s="9"/>
      <c r="E18" s="9"/>
      <c r="F18" s="16">
        <v>0.81</v>
      </c>
      <c r="G18" s="16">
        <f t="shared" si="8"/>
        <v>4.0500000000000007</v>
      </c>
      <c r="H18" s="16">
        <f t="shared" si="9"/>
        <v>8.1000000000000003E-2</v>
      </c>
      <c r="I18" s="5"/>
      <c r="J18" s="33">
        <f t="shared" si="1"/>
        <v>1</v>
      </c>
      <c r="K18">
        <f t="shared" si="2"/>
        <v>10</v>
      </c>
      <c r="L18">
        <f t="shared" si="3"/>
        <v>0</v>
      </c>
      <c r="M18">
        <f t="shared" si="4"/>
        <v>1.1666666666666667</v>
      </c>
      <c r="N18">
        <f t="shared" si="0"/>
        <v>1</v>
      </c>
      <c r="O18">
        <f t="shared" si="7"/>
        <v>3.8440677966101719E-2</v>
      </c>
      <c r="P18">
        <f t="shared" si="5"/>
        <v>0.38440677966101711</v>
      </c>
      <c r="Q18">
        <f t="shared" si="6"/>
        <v>4.3520338983050859</v>
      </c>
    </row>
    <row r="19" spans="1:21" x14ac:dyDescent="0.25">
      <c r="A19" s="34"/>
      <c r="B19" s="10">
        <v>5.5555555555555601E-2</v>
      </c>
      <c r="C19" s="9">
        <v>332</v>
      </c>
      <c r="D19" s="9"/>
      <c r="E19" s="9"/>
      <c r="F19" s="16">
        <v>0.81</v>
      </c>
      <c r="G19" s="16">
        <f t="shared" si="8"/>
        <v>4.8600000000000012</v>
      </c>
      <c r="H19" s="16">
        <f t="shared" si="9"/>
        <v>8.1000000000000003E-2</v>
      </c>
      <c r="I19" s="5"/>
      <c r="J19" s="33">
        <f t="shared" si="1"/>
        <v>1</v>
      </c>
      <c r="K19">
        <f t="shared" si="2"/>
        <v>20</v>
      </c>
      <c r="L19">
        <f t="shared" si="3"/>
        <v>0</v>
      </c>
      <c r="M19">
        <f t="shared" si="4"/>
        <v>1.3333333333333333</v>
      </c>
      <c r="N19">
        <f>M19-$M$11</f>
        <v>1.1666666666666665</v>
      </c>
      <c r="O19">
        <f t="shared" si="7"/>
        <v>3.8440677966101719E-2</v>
      </c>
      <c r="P19">
        <f t="shared" si="5"/>
        <v>0.38440677966101683</v>
      </c>
      <c r="Q19">
        <f t="shared" si="6"/>
        <v>4.7364406779661028</v>
      </c>
    </row>
    <row r="20" spans="1:21" x14ac:dyDescent="0.25">
      <c r="A20" s="34"/>
      <c r="B20" s="10">
        <v>6.25E-2</v>
      </c>
      <c r="C20" s="9">
        <v>378</v>
      </c>
      <c r="D20" s="9"/>
      <c r="E20" s="9"/>
      <c r="F20" s="16">
        <v>0</v>
      </c>
      <c r="G20" s="16">
        <f t="shared" si="8"/>
        <v>4.8600000000000012</v>
      </c>
      <c r="H20" s="16">
        <f t="shared" si="9"/>
        <v>0</v>
      </c>
      <c r="I20" s="5"/>
      <c r="J20" s="33">
        <f t="shared" si="1"/>
        <v>1</v>
      </c>
      <c r="K20">
        <f t="shared" si="2"/>
        <v>30</v>
      </c>
      <c r="L20">
        <f t="shared" si="3"/>
        <v>0</v>
      </c>
      <c r="M20">
        <f t="shared" si="4"/>
        <v>1.5</v>
      </c>
      <c r="N20">
        <f t="shared" si="0"/>
        <v>1.3333333333333333</v>
      </c>
      <c r="O20">
        <f t="shared" si="7"/>
        <v>3.8440677966101719E-2</v>
      </c>
      <c r="P20">
        <f t="shared" si="5"/>
        <v>0.38440677966101738</v>
      </c>
      <c r="Q20">
        <f t="shared" si="6"/>
        <v>5.1208474576271206</v>
      </c>
    </row>
    <row r="21" spans="1:21" x14ac:dyDescent="0.25">
      <c r="A21" s="34"/>
      <c r="B21" s="10">
        <v>6.9444444444444503E-2</v>
      </c>
      <c r="C21" s="9">
        <v>442</v>
      </c>
      <c r="D21" s="9"/>
      <c r="E21" s="9"/>
      <c r="F21" s="16">
        <v>0</v>
      </c>
      <c r="G21" s="16">
        <f t="shared" si="8"/>
        <v>4.8600000000000012</v>
      </c>
      <c r="H21" s="16">
        <f t="shared" si="9"/>
        <v>0</v>
      </c>
      <c r="I21" s="5"/>
      <c r="J21" s="33">
        <f t="shared" si="1"/>
        <v>1</v>
      </c>
      <c r="K21">
        <f t="shared" si="2"/>
        <v>40</v>
      </c>
      <c r="L21">
        <f t="shared" si="3"/>
        <v>0</v>
      </c>
      <c r="M21">
        <f t="shared" si="4"/>
        <v>1.6666666666666665</v>
      </c>
      <c r="N21">
        <f t="shared" si="0"/>
        <v>1.4999999999999998</v>
      </c>
      <c r="O21">
        <f t="shared" si="7"/>
        <v>3.8440677966101719E-2</v>
      </c>
      <c r="P21">
        <f t="shared" si="5"/>
        <v>0.38440677966101683</v>
      </c>
      <c r="Q21">
        <f t="shared" si="6"/>
        <v>5.5052542372881375</v>
      </c>
    </row>
    <row r="22" spans="1:21" x14ac:dyDescent="0.25">
      <c r="A22" s="34"/>
      <c r="B22" s="10">
        <v>7.6388888888888895E-2</v>
      </c>
      <c r="C22" s="9">
        <v>490</v>
      </c>
      <c r="D22" s="9"/>
      <c r="E22" s="9"/>
      <c r="F22" s="16">
        <v>0.81</v>
      </c>
      <c r="G22" s="16">
        <f t="shared" si="8"/>
        <v>5.6700000000000017</v>
      </c>
      <c r="H22" s="16">
        <f t="shared" si="9"/>
        <v>8.1000000000000003E-2</v>
      </c>
      <c r="I22" s="5"/>
      <c r="J22" s="33">
        <f t="shared" si="1"/>
        <v>1</v>
      </c>
      <c r="K22">
        <f t="shared" si="2"/>
        <v>50</v>
      </c>
      <c r="L22">
        <f t="shared" si="3"/>
        <v>0</v>
      </c>
      <c r="M22">
        <f t="shared" si="4"/>
        <v>1.8333333333333335</v>
      </c>
      <c r="N22">
        <f t="shared" si="0"/>
        <v>1.6666666666666667</v>
      </c>
      <c r="O22">
        <f t="shared" si="7"/>
        <v>3.8440677966101719E-2</v>
      </c>
      <c r="P22">
        <f t="shared" si="5"/>
        <v>0.38440677966101788</v>
      </c>
      <c r="Q22">
        <f t="shared" si="6"/>
        <v>5.8896610169491552</v>
      </c>
      <c r="U22">
        <f>1/0.1104078437</f>
        <v>9.0573275094222314</v>
      </c>
    </row>
    <row r="23" spans="1:21" x14ac:dyDescent="0.25">
      <c r="A23" s="34"/>
      <c r="B23" s="10">
        <v>8.3333333333333301E-2</v>
      </c>
      <c r="C23" s="9">
        <v>553</v>
      </c>
      <c r="D23" s="9"/>
      <c r="E23" s="9"/>
      <c r="F23" s="16">
        <v>0.81</v>
      </c>
      <c r="G23" s="16">
        <f t="shared" si="8"/>
        <v>6.4800000000000022</v>
      </c>
      <c r="H23" s="16">
        <f t="shared" si="9"/>
        <v>8.1000000000000003E-2</v>
      </c>
      <c r="I23" s="5"/>
      <c r="J23" s="33">
        <f t="shared" si="1"/>
        <v>2</v>
      </c>
      <c r="K23">
        <f t="shared" si="2"/>
        <v>0</v>
      </c>
      <c r="L23">
        <f t="shared" si="3"/>
        <v>0</v>
      </c>
      <c r="M23">
        <f t="shared" si="4"/>
        <v>2</v>
      </c>
      <c r="N23">
        <f t="shared" si="0"/>
        <v>1.8333333333333333</v>
      </c>
      <c r="O23">
        <f t="shared" si="7"/>
        <v>3.8440677966101719E-2</v>
      </c>
      <c r="P23">
        <f t="shared" si="5"/>
        <v>0.38440677966101683</v>
      </c>
      <c r="Q23">
        <f t="shared" si="6"/>
        <v>6.2740677966101721</v>
      </c>
    </row>
    <row r="24" spans="1:21" x14ac:dyDescent="0.25">
      <c r="A24" s="34"/>
      <c r="B24" s="10">
        <v>9.0277777777777804E-2</v>
      </c>
      <c r="C24" s="9">
        <v>576</v>
      </c>
      <c r="D24" s="9"/>
      <c r="E24" s="9"/>
      <c r="F24" s="16">
        <v>0</v>
      </c>
      <c r="G24" s="16">
        <f t="shared" si="8"/>
        <v>6.4800000000000022</v>
      </c>
      <c r="H24" s="16">
        <f t="shared" si="9"/>
        <v>0</v>
      </c>
      <c r="I24" s="5"/>
      <c r="J24" s="33">
        <f t="shared" si="1"/>
        <v>2</v>
      </c>
      <c r="K24">
        <f t="shared" si="2"/>
        <v>10</v>
      </c>
      <c r="L24">
        <f t="shared" si="3"/>
        <v>0</v>
      </c>
      <c r="M24">
        <f t="shared" si="4"/>
        <v>2.1666666666666665</v>
      </c>
      <c r="N24">
        <f t="shared" si="0"/>
        <v>1.9999999999999998</v>
      </c>
      <c r="O24">
        <f t="shared" si="7"/>
        <v>3.8440677966101719E-2</v>
      </c>
      <c r="P24">
        <f t="shared" si="5"/>
        <v>0.38440677966101683</v>
      </c>
      <c r="Q24">
        <f t="shared" si="6"/>
        <v>6.658474576271189</v>
      </c>
    </row>
    <row r="25" spans="1:21" x14ac:dyDescent="0.25">
      <c r="A25" s="34"/>
      <c r="B25" s="10">
        <v>9.7222222222222196E-2</v>
      </c>
      <c r="C25" s="9">
        <v>601</v>
      </c>
      <c r="D25" s="9"/>
      <c r="E25" s="9"/>
      <c r="F25" s="16">
        <v>0.81</v>
      </c>
      <c r="G25" s="16">
        <f t="shared" si="8"/>
        <v>7.2900000000000027</v>
      </c>
      <c r="H25" s="16">
        <f t="shared" si="9"/>
        <v>8.1000000000000003E-2</v>
      </c>
      <c r="I25" s="5"/>
      <c r="J25" s="33">
        <f t="shared" si="1"/>
        <v>2</v>
      </c>
      <c r="K25">
        <f t="shared" si="2"/>
        <v>20</v>
      </c>
      <c r="L25">
        <f t="shared" si="3"/>
        <v>0</v>
      </c>
      <c r="M25">
        <f t="shared" si="4"/>
        <v>2.3333333333333335</v>
      </c>
      <c r="N25">
        <f t="shared" si="0"/>
        <v>2.166666666666667</v>
      </c>
      <c r="O25">
        <f t="shared" si="7"/>
        <v>3.8440677966101719E-2</v>
      </c>
      <c r="P25">
        <f t="shared" si="5"/>
        <v>0.38440677966101838</v>
      </c>
      <c r="Q25">
        <f t="shared" si="6"/>
        <v>7.0428813559322077</v>
      </c>
    </row>
    <row r="26" spans="1:21" x14ac:dyDescent="0.25">
      <c r="A26" s="34"/>
      <c r="B26" s="10">
        <v>0.104166666666667</v>
      </c>
      <c r="C26" s="9">
        <v>629</v>
      </c>
      <c r="D26" s="9"/>
      <c r="E26" s="9"/>
      <c r="F26" s="16">
        <v>0</v>
      </c>
      <c r="G26" s="16">
        <f t="shared" si="8"/>
        <v>7.2900000000000027</v>
      </c>
      <c r="H26" s="16">
        <f t="shared" si="9"/>
        <v>0</v>
      </c>
      <c r="I26" s="5"/>
      <c r="J26" s="33">
        <f t="shared" si="1"/>
        <v>2</v>
      </c>
      <c r="K26">
        <f t="shared" si="2"/>
        <v>30</v>
      </c>
      <c r="L26">
        <f t="shared" si="3"/>
        <v>0</v>
      </c>
      <c r="M26">
        <f t="shared" si="4"/>
        <v>2.5</v>
      </c>
      <c r="N26">
        <f t="shared" si="0"/>
        <v>2.3333333333333335</v>
      </c>
      <c r="O26">
        <f t="shared" si="7"/>
        <v>3.8440677966101719E-2</v>
      </c>
      <c r="P26">
        <f t="shared" si="5"/>
        <v>0.38440677966101683</v>
      </c>
      <c r="Q26">
        <f t="shared" si="6"/>
        <v>7.4272881355932245</v>
      </c>
    </row>
    <row r="27" spans="1:21" x14ac:dyDescent="0.25">
      <c r="A27" s="34"/>
      <c r="B27" s="10">
        <v>0.11111111111111099</v>
      </c>
      <c r="C27" s="9">
        <v>655</v>
      </c>
      <c r="D27" s="9"/>
      <c r="E27" s="9"/>
      <c r="F27" s="16">
        <v>0</v>
      </c>
      <c r="G27" s="16">
        <f t="shared" si="8"/>
        <v>7.2900000000000027</v>
      </c>
      <c r="H27" s="16">
        <f t="shared" si="9"/>
        <v>0</v>
      </c>
      <c r="I27" s="5"/>
      <c r="J27" s="33">
        <f t="shared" si="1"/>
        <v>2</v>
      </c>
      <c r="K27">
        <f t="shared" si="2"/>
        <v>40</v>
      </c>
      <c r="L27">
        <f t="shared" si="3"/>
        <v>0</v>
      </c>
      <c r="M27">
        <f t="shared" si="4"/>
        <v>2.6666666666666665</v>
      </c>
      <c r="N27">
        <f t="shared" si="0"/>
        <v>2.5</v>
      </c>
      <c r="O27">
        <f t="shared" si="7"/>
        <v>3.8440677966101719E-2</v>
      </c>
      <c r="P27">
        <f t="shared" si="5"/>
        <v>0.38440677966101683</v>
      </c>
      <c r="Q27">
        <f t="shared" si="6"/>
        <v>7.8116949152542414</v>
      </c>
    </row>
    <row r="28" spans="1:21" x14ac:dyDescent="0.25">
      <c r="A28" s="34"/>
      <c r="B28" s="10">
        <v>0.118055555555556</v>
      </c>
      <c r="C28" s="9">
        <v>695</v>
      </c>
      <c r="D28" s="9"/>
      <c r="E28" s="9"/>
      <c r="F28" s="16">
        <v>0</v>
      </c>
      <c r="G28" s="16">
        <f t="shared" si="8"/>
        <v>7.2900000000000027</v>
      </c>
      <c r="H28" s="16">
        <f t="shared" si="9"/>
        <v>0</v>
      </c>
      <c r="I28" s="5"/>
      <c r="J28" s="33">
        <f t="shared" si="1"/>
        <v>2</v>
      </c>
      <c r="K28">
        <f t="shared" si="2"/>
        <v>50</v>
      </c>
      <c r="L28">
        <f t="shared" si="3"/>
        <v>0</v>
      </c>
      <c r="M28">
        <f t="shared" si="4"/>
        <v>2.8333333333333335</v>
      </c>
      <c r="N28">
        <f t="shared" si="0"/>
        <v>2.666666666666667</v>
      </c>
      <c r="O28">
        <f t="shared" si="7"/>
        <v>3.8440677966101719E-2</v>
      </c>
      <c r="P28">
        <f t="shared" si="5"/>
        <v>0.38440677966101788</v>
      </c>
      <c r="Q28">
        <f t="shared" si="6"/>
        <v>8.1961016949152601</v>
      </c>
    </row>
    <row r="29" spans="1:21" x14ac:dyDescent="0.25">
      <c r="A29" s="34"/>
      <c r="B29" s="10">
        <v>0.125</v>
      </c>
      <c r="C29" s="9">
        <v>712</v>
      </c>
      <c r="D29" s="9"/>
      <c r="E29" s="9"/>
      <c r="F29" s="16">
        <v>0.81</v>
      </c>
      <c r="G29" s="16">
        <f t="shared" si="8"/>
        <v>8.1000000000000032</v>
      </c>
      <c r="H29" s="16">
        <f t="shared" si="9"/>
        <v>8.1000000000000003E-2</v>
      </c>
      <c r="I29" s="5"/>
      <c r="J29" s="33">
        <f t="shared" si="1"/>
        <v>3</v>
      </c>
      <c r="K29">
        <f t="shared" si="2"/>
        <v>0</v>
      </c>
      <c r="L29">
        <f t="shared" si="3"/>
        <v>0</v>
      </c>
      <c r="M29">
        <f t="shared" si="4"/>
        <v>3</v>
      </c>
      <c r="N29">
        <f t="shared" si="0"/>
        <v>2.8333333333333335</v>
      </c>
      <c r="O29">
        <f t="shared" si="7"/>
        <v>3.8440677966101719E-2</v>
      </c>
      <c r="P29">
        <f t="shared" si="5"/>
        <v>0.38440677966101683</v>
      </c>
      <c r="Q29">
        <f t="shared" si="6"/>
        <v>8.580508474576277</v>
      </c>
    </row>
    <row r="30" spans="1:21" x14ac:dyDescent="0.25">
      <c r="A30" s="34"/>
      <c r="B30" s="10">
        <v>0.131944444444445</v>
      </c>
      <c r="C30" s="9">
        <v>765</v>
      </c>
      <c r="D30" s="9"/>
      <c r="E30" s="9"/>
      <c r="F30" s="16">
        <v>0</v>
      </c>
      <c r="G30" s="16">
        <f t="shared" si="8"/>
        <v>8.1000000000000032</v>
      </c>
      <c r="H30" s="16">
        <f t="shared" si="9"/>
        <v>0</v>
      </c>
      <c r="I30" s="5"/>
      <c r="J30" s="33">
        <f t="shared" si="1"/>
        <v>3</v>
      </c>
      <c r="K30">
        <f t="shared" si="2"/>
        <v>10</v>
      </c>
      <c r="L30">
        <f t="shared" si="3"/>
        <v>0</v>
      </c>
      <c r="M30">
        <f t="shared" si="4"/>
        <v>3.1666666666666665</v>
      </c>
      <c r="N30">
        <f t="shared" si="0"/>
        <v>3</v>
      </c>
      <c r="O30">
        <f t="shared" si="7"/>
        <v>3.8440677966101719E-2</v>
      </c>
      <c r="P30">
        <f t="shared" si="5"/>
        <v>0.38440677966101683</v>
      </c>
      <c r="Q30">
        <f t="shared" si="6"/>
        <v>8.9649152542372939</v>
      </c>
    </row>
    <row r="31" spans="1:21" x14ac:dyDescent="0.25">
      <c r="A31" s="34"/>
      <c r="B31" s="10">
        <v>0.13888888888888901</v>
      </c>
      <c r="C31" s="9">
        <v>848</v>
      </c>
      <c r="D31" s="9"/>
      <c r="E31" s="9"/>
      <c r="F31" s="9">
        <v>0.81</v>
      </c>
      <c r="G31" s="16">
        <f t="shared" si="8"/>
        <v>8.9100000000000037</v>
      </c>
      <c r="H31" s="16">
        <f t="shared" si="9"/>
        <v>8.1000000000000003E-2</v>
      </c>
      <c r="I31" s="5"/>
      <c r="J31" s="33">
        <f t="shared" si="1"/>
        <v>3</v>
      </c>
      <c r="K31">
        <f t="shared" si="2"/>
        <v>20</v>
      </c>
      <c r="L31">
        <f t="shared" si="3"/>
        <v>0</v>
      </c>
      <c r="M31">
        <f t="shared" si="4"/>
        <v>3.3333333333333335</v>
      </c>
      <c r="N31">
        <f t="shared" si="0"/>
        <v>3.166666666666667</v>
      </c>
      <c r="O31">
        <f t="shared" si="7"/>
        <v>3.8440677966101719E-2</v>
      </c>
      <c r="P31">
        <f t="shared" si="5"/>
        <v>0.38440677966101788</v>
      </c>
      <c r="Q31">
        <f t="shared" si="6"/>
        <v>9.3493220338983125</v>
      </c>
    </row>
    <row r="32" spans="1:21" x14ac:dyDescent="0.25">
      <c r="A32" s="34"/>
      <c r="B32" s="10">
        <v>0.14583333333333301</v>
      </c>
      <c r="C32" s="9">
        <v>949</v>
      </c>
      <c r="D32" s="9"/>
      <c r="E32" s="9"/>
      <c r="F32" s="9">
        <v>0.81</v>
      </c>
      <c r="G32" s="16">
        <f t="shared" si="8"/>
        <v>9.7200000000000042</v>
      </c>
      <c r="H32" s="16">
        <f t="shared" si="9"/>
        <v>8.1000000000000003E-2</v>
      </c>
      <c r="I32" s="5"/>
      <c r="J32" s="33">
        <f t="shared" si="1"/>
        <v>3</v>
      </c>
      <c r="K32">
        <f t="shared" si="2"/>
        <v>30</v>
      </c>
      <c r="L32">
        <f t="shared" si="3"/>
        <v>0</v>
      </c>
      <c r="M32">
        <f t="shared" si="4"/>
        <v>3.5</v>
      </c>
      <c r="N32">
        <f t="shared" si="0"/>
        <v>3.3333333333333335</v>
      </c>
      <c r="O32">
        <f t="shared" si="7"/>
        <v>3.8440677966101719E-2</v>
      </c>
      <c r="P32">
        <f t="shared" si="5"/>
        <v>0.38440677966101683</v>
      </c>
      <c r="Q32">
        <f t="shared" si="6"/>
        <v>9.7337288135593294</v>
      </c>
    </row>
    <row r="33" spans="1:17" x14ac:dyDescent="0.25">
      <c r="A33" s="34"/>
      <c r="B33" s="10">
        <v>0.15277777777777801</v>
      </c>
      <c r="C33" s="9">
        <v>949</v>
      </c>
      <c r="D33" s="9"/>
      <c r="E33" s="9"/>
      <c r="F33" s="9">
        <v>0</v>
      </c>
      <c r="G33" s="16">
        <f t="shared" si="8"/>
        <v>9.7200000000000042</v>
      </c>
      <c r="H33" s="16">
        <f t="shared" si="9"/>
        <v>0</v>
      </c>
      <c r="I33" s="5" t="s">
        <v>55</v>
      </c>
      <c r="J33" s="33">
        <f t="shared" si="1"/>
        <v>3</v>
      </c>
      <c r="K33">
        <f t="shared" si="2"/>
        <v>40</v>
      </c>
      <c r="L33">
        <f t="shared" si="3"/>
        <v>0</v>
      </c>
      <c r="M33">
        <f t="shared" si="4"/>
        <v>3.6666666666666665</v>
      </c>
      <c r="N33">
        <f t="shared" si="0"/>
        <v>3.5</v>
      </c>
      <c r="O33">
        <f t="shared" si="7"/>
        <v>3.8440677966101719E-2</v>
      </c>
      <c r="P33">
        <f t="shared" si="5"/>
        <v>0.38440677966101683</v>
      </c>
      <c r="Q33">
        <f t="shared" si="6"/>
        <v>10.118135593220346</v>
      </c>
    </row>
    <row r="34" spans="1:17" x14ac:dyDescent="0.25">
      <c r="A34" s="34"/>
      <c r="B34" s="10">
        <v>0.15972222222222199</v>
      </c>
      <c r="C34" s="9">
        <v>996</v>
      </c>
      <c r="D34" s="9"/>
      <c r="E34" s="9"/>
      <c r="F34" s="9">
        <v>0.81</v>
      </c>
      <c r="G34" s="16">
        <f t="shared" si="8"/>
        <v>10.530000000000005</v>
      </c>
      <c r="H34" s="16">
        <f t="shared" si="9"/>
        <v>8.1000000000000003E-2</v>
      </c>
      <c r="I34" s="5"/>
      <c r="J34" s="33">
        <f t="shared" si="1"/>
        <v>3</v>
      </c>
      <c r="K34">
        <f t="shared" si="2"/>
        <v>50</v>
      </c>
      <c r="L34">
        <f t="shared" si="3"/>
        <v>0</v>
      </c>
      <c r="M34">
        <f t="shared" si="4"/>
        <v>3.8333333333333335</v>
      </c>
      <c r="N34">
        <f t="shared" si="0"/>
        <v>3.666666666666667</v>
      </c>
      <c r="O34">
        <f t="shared" si="7"/>
        <v>3.8440677966101719E-2</v>
      </c>
      <c r="P34">
        <f t="shared" si="5"/>
        <v>0.38440677966101788</v>
      </c>
      <c r="Q34">
        <f t="shared" si="6"/>
        <v>10.502542372881365</v>
      </c>
    </row>
    <row r="35" spans="1:17" x14ac:dyDescent="0.25">
      <c r="A35" s="34"/>
      <c r="B35" s="10">
        <v>0.16666666666666699</v>
      </c>
      <c r="C35" s="9">
        <v>1126</v>
      </c>
      <c r="D35" s="9"/>
      <c r="E35" s="9"/>
      <c r="F35" s="9">
        <v>0</v>
      </c>
      <c r="G35" s="16">
        <f t="shared" si="8"/>
        <v>10.530000000000005</v>
      </c>
      <c r="H35" s="16">
        <f t="shared" si="9"/>
        <v>0</v>
      </c>
      <c r="I35" s="5"/>
      <c r="J35" s="33">
        <f t="shared" si="1"/>
        <v>4</v>
      </c>
      <c r="K35">
        <f t="shared" si="2"/>
        <v>0</v>
      </c>
      <c r="L35">
        <f t="shared" si="3"/>
        <v>0</v>
      </c>
      <c r="M35">
        <f t="shared" si="4"/>
        <v>4</v>
      </c>
      <c r="N35">
        <f t="shared" si="0"/>
        <v>3.8333333333333335</v>
      </c>
      <c r="O35">
        <f t="shared" si="7"/>
        <v>3.8440677966101719E-2</v>
      </c>
      <c r="P35">
        <f t="shared" si="5"/>
        <v>0.38440677966101683</v>
      </c>
      <c r="Q35">
        <f t="shared" si="6"/>
        <v>10.886949152542382</v>
      </c>
    </row>
    <row r="36" spans="1:17" x14ac:dyDescent="0.25">
      <c r="A36" s="34"/>
      <c r="B36" s="10">
        <v>0.17361111111111099</v>
      </c>
      <c r="C36" s="9">
        <v>1141</v>
      </c>
      <c r="D36" s="9"/>
      <c r="E36" s="9"/>
      <c r="F36" s="9">
        <v>1.62</v>
      </c>
      <c r="G36" s="16">
        <f t="shared" si="8"/>
        <v>12.150000000000006</v>
      </c>
      <c r="H36" s="16">
        <f t="shared" si="9"/>
        <v>0.16200000000000001</v>
      </c>
      <c r="I36" s="5"/>
      <c r="J36" s="33">
        <f t="shared" si="1"/>
        <v>4</v>
      </c>
      <c r="K36">
        <f t="shared" si="2"/>
        <v>10</v>
      </c>
      <c r="L36">
        <f t="shared" si="3"/>
        <v>0</v>
      </c>
      <c r="M36">
        <f t="shared" si="4"/>
        <v>4.166666666666667</v>
      </c>
      <c r="N36">
        <f t="shared" si="0"/>
        <v>4</v>
      </c>
      <c r="O36">
        <f t="shared" si="7"/>
        <v>3.8440677966101719E-2</v>
      </c>
      <c r="P36">
        <f t="shared" si="5"/>
        <v>0.38440677966101683</v>
      </c>
      <c r="Q36">
        <f t="shared" si="6"/>
        <v>11.271355932203399</v>
      </c>
    </row>
    <row r="37" spans="1:17" x14ac:dyDescent="0.25">
      <c r="A37" s="34"/>
      <c r="B37" s="10">
        <v>0.180555555555556</v>
      </c>
      <c r="C37" s="9">
        <v>1197</v>
      </c>
      <c r="D37" s="9"/>
      <c r="E37" s="9"/>
      <c r="F37" s="9">
        <v>0</v>
      </c>
      <c r="G37" s="16">
        <f t="shared" si="8"/>
        <v>12.150000000000006</v>
      </c>
      <c r="H37" s="16">
        <f t="shared" si="9"/>
        <v>0</v>
      </c>
      <c r="I37" s="5"/>
      <c r="J37" s="33">
        <f t="shared" si="1"/>
        <v>4</v>
      </c>
      <c r="K37">
        <f t="shared" si="2"/>
        <v>20</v>
      </c>
      <c r="L37">
        <f t="shared" si="3"/>
        <v>0</v>
      </c>
      <c r="M37">
        <f t="shared" si="4"/>
        <v>4.333333333333333</v>
      </c>
      <c r="N37">
        <f t="shared" si="0"/>
        <v>4.1666666666666661</v>
      </c>
      <c r="O37">
        <f t="shared" si="7"/>
        <v>3.8440677966101719E-2</v>
      </c>
      <c r="P37">
        <f t="shared" si="5"/>
        <v>0.38440677966101577</v>
      </c>
      <c r="Q37">
        <f t="shared" si="6"/>
        <v>11.655762711864414</v>
      </c>
    </row>
    <row r="38" spans="1:17" x14ac:dyDescent="0.25">
      <c r="A38" s="34"/>
      <c r="B38" s="10">
        <v>0.1875</v>
      </c>
      <c r="C38" s="9">
        <v>1249</v>
      </c>
      <c r="D38" s="9"/>
      <c r="E38" s="9"/>
      <c r="F38" s="9">
        <v>0</v>
      </c>
      <c r="G38" s="16">
        <f t="shared" si="8"/>
        <v>12.150000000000006</v>
      </c>
      <c r="H38" s="16">
        <f t="shared" si="9"/>
        <v>0</v>
      </c>
      <c r="I38" s="5"/>
      <c r="J38" s="33">
        <f t="shared" si="1"/>
        <v>4</v>
      </c>
      <c r="K38">
        <f t="shared" si="2"/>
        <v>30</v>
      </c>
      <c r="L38">
        <f t="shared" si="3"/>
        <v>0</v>
      </c>
      <c r="M38">
        <f t="shared" si="4"/>
        <v>4.5</v>
      </c>
      <c r="N38">
        <f t="shared" si="0"/>
        <v>4.333333333333333</v>
      </c>
      <c r="O38">
        <f t="shared" si="7"/>
        <v>3.8440677966101719E-2</v>
      </c>
      <c r="P38">
        <f t="shared" si="5"/>
        <v>0.38440677966101788</v>
      </c>
      <c r="Q38">
        <f t="shared" si="6"/>
        <v>12.040169491525432</v>
      </c>
    </row>
    <row r="39" spans="1:17" x14ac:dyDescent="0.25">
      <c r="A39" s="34"/>
      <c r="B39" s="10">
        <v>0.194444444444445</v>
      </c>
      <c r="C39" s="9">
        <v>1305</v>
      </c>
      <c r="D39" s="9"/>
      <c r="E39" s="9"/>
      <c r="F39" s="9">
        <v>0.81</v>
      </c>
      <c r="G39" s="16">
        <f t="shared" si="8"/>
        <v>12.960000000000006</v>
      </c>
      <c r="H39" s="16">
        <f t="shared" si="9"/>
        <v>8.1000000000000003E-2</v>
      </c>
      <c r="I39" s="5"/>
      <c r="J39" s="33">
        <f t="shared" si="1"/>
        <v>4</v>
      </c>
      <c r="K39">
        <f t="shared" si="2"/>
        <v>40</v>
      </c>
      <c r="L39">
        <f t="shared" si="3"/>
        <v>0</v>
      </c>
      <c r="M39">
        <f t="shared" si="4"/>
        <v>4.666666666666667</v>
      </c>
      <c r="N39">
        <f t="shared" si="0"/>
        <v>4.5</v>
      </c>
      <c r="O39">
        <f t="shared" si="7"/>
        <v>3.8440677966101719E-2</v>
      </c>
      <c r="P39">
        <f t="shared" si="5"/>
        <v>0.38440677966101788</v>
      </c>
      <c r="Q39">
        <f t="shared" si="6"/>
        <v>12.424576271186451</v>
      </c>
    </row>
    <row r="40" spans="1:17" x14ac:dyDescent="0.25">
      <c r="A40" s="34"/>
      <c r="B40" s="10">
        <v>0.20138888888888901</v>
      </c>
      <c r="C40" s="9">
        <v>1328</v>
      </c>
      <c r="D40" s="9"/>
      <c r="E40" s="9"/>
      <c r="F40" s="9">
        <v>0</v>
      </c>
      <c r="G40" s="16">
        <f t="shared" si="8"/>
        <v>12.960000000000006</v>
      </c>
      <c r="H40" s="16">
        <f t="shared" si="9"/>
        <v>0</v>
      </c>
      <c r="I40" s="5"/>
      <c r="J40" s="33">
        <f t="shared" si="1"/>
        <v>4</v>
      </c>
      <c r="K40">
        <f t="shared" si="2"/>
        <v>50</v>
      </c>
      <c r="L40">
        <f t="shared" si="3"/>
        <v>0</v>
      </c>
      <c r="M40">
        <f t="shared" si="4"/>
        <v>4.833333333333333</v>
      </c>
      <c r="N40">
        <f t="shared" si="0"/>
        <v>4.6666666666666661</v>
      </c>
      <c r="O40">
        <f t="shared" si="7"/>
        <v>3.8440677966101719E-2</v>
      </c>
      <c r="P40">
        <f t="shared" si="5"/>
        <v>0.38440677966101577</v>
      </c>
      <c r="Q40">
        <f t="shared" si="6"/>
        <v>12.808983050847466</v>
      </c>
    </row>
    <row r="41" spans="1:17" x14ac:dyDescent="0.25">
      <c r="A41" s="34"/>
      <c r="B41" s="10">
        <v>0.20833333333333301</v>
      </c>
      <c r="C41" s="9">
        <v>1370</v>
      </c>
      <c r="D41" s="9"/>
      <c r="E41" s="9"/>
      <c r="F41" s="9">
        <v>0</v>
      </c>
      <c r="G41" s="16">
        <f t="shared" si="8"/>
        <v>12.960000000000006</v>
      </c>
      <c r="H41" s="16">
        <f t="shared" si="9"/>
        <v>0</v>
      </c>
      <c r="I41" s="5"/>
      <c r="J41" s="33">
        <f t="shared" si="1"/>
        <v>5</v>
      </c>
      <c r="K41">
        <f t="shared" si="2"/>
        <v>0</v>
      </c>
      <c r="L41">
        <f t="shared" si="3"/>
        <v>0</v>
      </c>
      <c r="M41">
        <f t="shared" si="4"/>
        <v>5</v>
      </c>
      <c r="N41">
        <f t="shared" si="0"/>
        <v>4.833333333333333</v>
      </c>
      <c r="O41">
        <f t="shared" si="7"/>
        <v>3.8440677966101719E-2</v>
      </c>
      <c r="P41">
        <f t="shared" si="5"/>
        <v>0.38440677966101788</v>
      </c>
      <c r="Q41">
        <f t="shared" si="6"/>
        <v>13.193389830508485</v>
      </c>
    </row>
    <row r="42" spans="1:17" x14ac:dyDescent="0.25">
      <c r="A42" s="34"/>
      <c r="B42" s="10">
        <v>0.21527777777777801</v>
      </c>
      <c r="C42" s="9">
        <v>1398</v>
      </c>
      <c r="D42" s="9"/>
      <c r="E42" s="9"/>
      <c r="F42" s="9">
        <v>0.81</v>
      </c>
      <c r="G42" s="16">
        <f t="shared" si="8"/>
        <v>13.770000000000007</v>
      </c>
      <c r="H42" s="16">
        <f t="shared" si="9"/>
        <v>8.1000000000000003E-2</v>
      </c>
      <c r="I42" s="5"/>
      <c r="J42" s="33">
        <f t="shared" si="1"/>
        <v>5</v>
      </c>
      <c r="K42">
        <f t="shared" si="2"/>
        <v>10</v>
      </c>
      <c r="L42">
        <f t="shared" si="3"/>
        <v>0</v>
      </c>
      <c r="M42">
        <f t="shared" si="4"/>
        <v>5.166666666666667</v>
      </c>
      <c r="N42">
        <f t="shared" si="0"/>
        <v>5</v>
      </c>
      <c r="O42">
        <f t="shared" si="7"/>
        <v>3.8440677966101719E-2</v>
      </c>
      <c r="P42">
        <f t="shared" si="5"/>
        <v>0.38440677966101788</v>
      </c>
      <c r="Q42">
        <f t="shared" si="6"/>
        <v>13.577796610169504</v>
      </c>
    </row>
    <row r="43" spans="1:17" x14ac:dyDescent="0.25">
      <c r="A43" s="34"/>
      <c r="B43" s="10">
        <v>0.22222222222222199</v>
      </c>
      <c r="C43" s="9">
        <v>1442</v>
      </c>
      <c r="D43" s="9"/>
      <c r="E43" s="9"/>
      <c r="F43" s="9">
        <v>1.62</v>
      </c>
      <c r="G43" s="16">
        <f t="shared" si="8"/>
        <v>15.390000000000008</v>
      </c>
      <c r="H43" s="16">
        <f t="shared" si="9"/>
        <v>0.16200000000000001</v>
      </c>
      <c r="I43" s="5"/>
      <c r="J43" s="33">
        <f t="shared" si="1"/>
        <v>5</v>
      </c>
      <c r="K43">
        <f t="shared" si="2"/>
        <v>20</v>
      </c>
      <c r="L43">
        <f t="shared" si="3"/>
        <v>0</v>
      </c>
      <c r="M43">
        <f t="shared" si="4"/>
        <v>5.333333333333333</v>
      </c>
      <c r="N43">
        <f t="shared" si="0"/>
        <v>5.1666666666666661</v>
      </c>
      <c r="O43">
        <f>($G$66-$G$42)/($N$66-$N$42)/60</f>
        <v>6.074999999999995E-2</v>
      </c>
      <c r="P43">
        <f t="shared" si="5"/>
        <v>0.60749999999999726</v>
      </c>
      <c r="Q43">
        <f t="shared" si="6"/>
        <v>14.185296610169502</v>
      </c>
    </row>
    <row r="44" spans="1:17" x14ac:dyDescent="0.25">
      <c r="A44" s="34"/>
      <c r="B44" s="10">
        <v>0.22916666666666699</v>
      </c>
      <c r="C44" s="9">
        <v>1452</v>
      </c>
      <c r="D44" s="9"/>
      <c r="E44" s="9"/>
      <c r="F44" s="9">
        <v>0</v>
      </c>
      <c r="G44" s="16">
        <f t="shared" si="8"/>
        <v>15.390000000000008</v>
      </c>
      <c r="H44" s="16">
        <f t="shared" si="9"/>
        <v>0</v>
      </c>
      <c r="I44" s="5"/>
      <c r="J44" s="33">
        <f t="shared" si="1"/>
        <v>5</v>
      </c>
      <c r="K44">
        <f t="shared" si="2"/>
        <v>30</v>
      </c>
      <c r="L44">
        <f t="shared" si="3"/>
        <v>0</v>
      </c>
      <c r="M44">
        <f t="shared" si="4"/>
        <v>5.5</v>
      </c>
      <c r="N44">
        <f t="shared" si="0"/>
        <v>5.333333333333333</v>
      </c>
      <c r="O44">
        <f t="shared" ref="O44:O67" si="10">($G$66-$G$42)/($N$66-$N$42)/60</f>
        <v>6.074999999999995E-2</v>
      </c>
      <c r="P44">
        <f t="shared" si="5"/>
        <v>0.6075000000000006</v>
      </c>
      <c r="Q44">
        <f t="shared" si="6"/>
        <v>14.792796610169502</v>
      </c>
    </row>
    <row r="45" spans="1:17" x14ac:dyDescent="0.25">
      <c r="A45" s="34"/>
      <c r="B45" s="10">
        <v>0.23611111111111099</v>
      </c>
      <c r="C45" s="9">
        <v>1466</v>
      </c>
      <c r="D45" s="9"/>
      <c r="E45" s="9"/>
      <c r="F45" s="9">
        <v>0</v>
      </c>
      <c r="G45" s="16">
        <f t="shared" si="8"/>
        <v>15.390000000000008</v>
      </c>
      <c r="H45" s="16">
        <f t="shared" si="9"/>
        <v>0</v>
      </c>
      <c r="I45" s="5"/>
      <c r="J45" s="33">
        <f t="shared" si="1"/>
        <v>5</v>
      </c>
      <c r="K45">
        <f t="shared" si="2"/>
        <v>40</v>
      </c>
      <c r="L45">
        <f t="shared" si="3"/>
        <v>0</v>
      </c>
      <c r="M45">
        <f t="shared" si="4"/>
        <v>5.666666666666667</v>
      </c>
      <c r="N45">
        <f t="shared" si="0"/>
        <v>5.5</v>
      </c>
      <c r="O45">
        <f t="shared" si="10"/>
        <v>6.074999999999995E-2</v>
      </c>
      <c r="P45">
        <f t="shared" si="5"/>
        <v>0.6075000000000006</v>
      </c>
      <c r="Q45">
        <f t="shared" si="6"/>
        <v>15.400296610169502</v>
      </c>
    </row>
    <row r="46" spans="1:17" x14ac:dyDescent="0.25">
      <c r="A46" s="34"/>
      <c r="B46" s="10">
        <v>0.243055555555556</v>
      </c>
      <c r="C46" s="9">
        <v>1512</v>
      </c>
      <c r="D46" s="9"/>
      <c r="E46" s="9"/>
      <c r="F46" s="9">
        <v>1.62</v>
      </c>
      <c r="G46" s="16">
        <f t="shared" si="8"/>
        <v>17.010000000000009</v>
      </c>
      <c r="H46" s="16">
        <f t="shared" si="9"/>
        <v>0.16200000000000001</v>
      </c>
      <c r="I46" s="5"/>
      <c r="J46" s="33">
        <f t="shared" si="1"/>
        <v>5</v>
      </c>
      <c r="K46">
        <f t="shared" si="2"/>
        <v>50</v>
      </c>
      <c r="L46">
        <f t="shared" si="3"/>
        <v>0</v>
      </c>
      <c r="M46">
        <f t="shared" si="4"/>
        <v>5.833333333333333</v>
      </c>
      <c r="N46">
        <f t="shared" si="0"/>
        <v>5.6666666666666661</v>
      </c>
      <c r="O46">
        <f t="shared" si="10"/>
        <v>6.074999999999995E-2</v>
      </c>
      <c r="P46">
        <f t="shared" si="5"/>
        <v>0.60749999999999726</v>
      </c>
      <c r="Q46">
        <f t="shared" si="6"/>
        <v>16.0077966101695</v>
      </c>
    </row>
    <row r="47" spans="1:17" x14ac:dyDescent="0.25">
      <c r="A47" s="34"/>
      <c r="B47" s="10">
        <v>0.25</v>
      </c>
      <c r="C47" s="9">
        <v>1528</v>
      </c>
      <c r="D47" s="9"/>
      <c r="E47" s="9"/>
      <c r="F47" s="9">
        <v>0.81</v>
      </c>
      <c r="G47" s="16">
        <f t="shared" si="8"/>
        <v>17.820000000000007</v>
      </c>
      <c r="H47" s="16">
        <f t="shared" si="9"/>
        <v>8.1000000000000003E-2</v>
      </c>
      <c r="I47" s="5"/>
      <c r="J47" s="33">
        <f t="shared" si="1"/>
        <v>6</v>
      </c>
      <c r="K47">
        <f t="shared" si="2"/>
        <v>0</v>
      </c>
      <c r="L47">
        <f t="shared" si="3"/>
        <v>0</v>
      </c>
      <c r="M47">
        <f t="shared" si="4"/>
        <v>6</v>
      </c>
      <c r="N47">
        <f t="shared" si="0"/>
        <v>5.833333333333333</v>
      </c>
      <c r="O47">
        <f t="shared" si="10"/>
        <v>6.074999999999995E-2</v>
      </c>
      <c r="P47">
        <f t="shared" si="5"/>
        <v>0.6075000000000006</v>
      </c>
      <c r="Q47">
        <f t="shared" si="6"/>
        <v>16.615296610169501</v>
      </c>
    </row>
    <row r="48" spans="1:17" x14ac:dyDescent="0.25">
      <c r="A48" s="34"/>
      <c r="B48" s="10">
        <v>0.25694444444444497</v>
      </c>
      <c r="C48" s="9">
        <v>1556</v>
      </c>
      <c r="D48" s="9"/>
      <c r="E48" s="9"/>
      <c r="F48" s="9">
        <v>0.81</v>
      </c>
      <c r="G48" s="16">
        <f t="shared" si="8"/>
        <v>18.630000000000006</v>
      </c>
      <c r="H48" s="16">
        <f t="shared" si="9"/>
        <v>8.1000000000000003E-2</v>
      </c>
      <c r="I48" s="5"/>
      <c r="J48" s="33">
        <f t="shared" si="1"/>
        <v>6</v>
      </c>
      <c r="K48">
        <f t="shared" si="2"/>
        <v>10</v>
      </c>
      <c r="L48">
        <f t="shared" si="3"/>
        <v>0</v>
      </c>
      <c r="M48">
        <f t="shared" si="4"/>
        <v>6.166666666666667</v>
      </c>
      <c r="N48">
        <f t="shared" si="0"/>
        <v>6</v>
      </c>
      <c r="O48">
        <f t="shared" si="10"/>
        <v>6.074999999999995E-2</v>
      </c>
      <c r="P48">
        <f t="shared" si="5"/>
        <v>0.6075000000000006</v>
      </c>
      <c r="Q48">
        <f t="shared" si="6"/>
        <v>17.222796610169503</v>
      </c>
    </row>
    <row r="49" spans="1:17" x14ac:dyDescent="0.25">
      <c r="A49" s="34"/>
      <c r="B49" s="10">
        <v>0.26388888888888901</v>
      </c>
      <c r="C49" s="9">
        <v>1562</v>
      </c>
      <c r="D49" s="9"/>
      <c r="E49" s="9"/>
      <c r="F49" s="9">
        <v>0</v>
      </c>
      <c r="G49" s="16">
        <f t="shared" si="8"/>
        <v>18.630000000000006</v>
      </c>
      <c r="H49" s="16">
        <f t="shared" si="9"/>
        <v>0</v>
      </c>
      <c r="I49" s="5"/>
      <c r="J49" s="33">
        <f t="shared" si="1"/>
        <v>6</v>
      </c>
      <c r="K49">
        <f t="shared" si="2"/>
        <v>20</v>
      </c>
      <c r="L49">
        <f t="shared" si="3"/>
        <v>0</v>
      </c>
      <c r="M49">
        <f t="shared" si="4"/>
        <v>6.333333333333333</v>
      </c>
      <c r="N49">
        <f t="shared" si="0"/>
        <v>6.1666666666666661</v>
      </c>
      <c r="O49">
        <f t="shared" si="10"/>
        <v>6.074999999999995E-2</v>
      </c>
      <c r="P49">
        <f t="shared" si="5"/>
        <v>0.60749999999999726</v>
      </c>
      <c r="Q49">
        <f t="shared" si="6"/>
        <v>17.830296610169501</v>
      </c>
    </row>
    <row r="50" spans="1:17" x14ac:dyDescent="0.25">
      <c r="A50" s="34"/>
      <c r="B50" s="10">
        <v>0.27083333333333298</v>
      </c>
      <c r="C50" s="9">
        <v>1579</v>
      </c>
      <c r="D50" s="9"/>
      <c r="E50" s="9"/>
      <c r="F50" s="9">
        <v>0</v>
      </c>
      <c r="G50" s="16">
        <f t="shared" si="8"/>
        <v>18.630000000000006</v>
      </c>
      <c r="H50" s="16">
        <f t="shared" si="9"/>
        <v>0</v>
      </c>
      <c r="I50" s="5"/>
      <c r="J50" s="33">
        <f t="shared" si="1"/>
        <v>6</v>
      </c>
      <c r="K50">
        <f t="shared" si="2"/>
        <v>30</v>
      </c>
      <c r="L50">
        <f t="shared" si="3"/>
        <v>0</v>
      </c>
      <c r="M50">
        <f t="shared" si="4"/>
        <v>6.5</v>
      </c>
      <c r="N50">
        <f t="shared" si="0"/>
        <v>6.333333333333333</v>
      </c>
      <c r="O50">
        <f t="shared" si="10"/>
        <v>6.074999999999995E-2</v>
      </c>
      <c r="P50">
        <f t="shared" si="5"/>
        <v>0.6075000000000006</v>
      </c>
      <c r="Q50">
        <f t="shared" si="6"/>
        <v>18.437796610169503</v>
      </c>
    </row>
    <row r="51" spans="1:17" x14ac:dyDescent="0.25">
      <c r="A51" s="34"/>
      <c r="B51" s="10">
        <v>0.27777777777777801</v>
      </c>
      <c r="C51" s="9">
        <v>1596</v>
      </c>
      <c r="D51" s="9"/>
      <c r="E51" s="9"/>
      <c r="F51" s="9">
        <v>1.62</v>
      </c>
      <c r="G51" s="16">
        <f t="shared" si="8"/>
        <v>20.250000000000007</v>
      </c>
      <c r="H51" s="16">
        <f t="shared" si="9"/>
        <v>0.16200000000000001</v>
      </c>
      <c r="I51" s="5"/>
      <c r="J51" s="33">
        <f t="shared" si="1"/>
        <v>6</v>
      </c>
      <c r="K51">
        <f t="shared" si="2"/>
        <v>40</v>
      </c>
      <c r="L51">
        <f t="shared" si="3"/>
        <v>0</v>
      </c>
      <c r="M51">
        <f t="shared" si="4"/>
        <v>6.666666666666667</v>
      </c>
      <c r="N51">
        <f t="shared" si="0"/>
        <v>6.5</v>
      </c>
      <c r="O51">
        <f t="shared" si="10"/>
        <v>6.074999999999995E-2</v>
      </c>
      <c r="P51">
        <f t="shared" si="5"/>
        <v>0.6075000000000006</v>
      </c>
      <c r="Q51">
        <f t="shared" si="6"/>
        <v>19.045296610169505</v>
      </c>
    </row>
    <row r="52" spans="1:17" x14ac:dyDescent="0.25">
      <c r="A52" s="34"/>
      <c r="B52" s="10">
        <v>0.28472222222222199</v>
      </c>
      <c r="C52" s="9">
        <v>1621</v>
      </c>
      <c r="D52" s="9"/>
      <c r="E52" s="9"/>
      <c r="F52" s="9">
        <v>0</v>
      </c>
      <c r="G52" s="16">
        <f t="shared" si="8"/>
        <v>20.250000000000007</v>
      </c>
      <c r="H52" s="16">
        <f t="shared" si="9"/>
        <v>0</v>
      </c>
      <c r="I52" s="5"/>
      <c r="J52" s="33">
        <f t="shared" si="1"/>
        <v>6</v>
      </c>
      <c r="K52">
        <f t="shared" si="2"/>
        <v>50</v>
      </c>
      <c r="L52">
        <f t="shared" si="3"/>
        <v>0</v>
      </c>
      <c r="M52">
        <f t="shared" si="4"/>
        <v>6.833333333333333</v>
      </c>
      <c r="N52">
        <f t="shared" si="0"/>
        <v>6.6666666666666661</v>
      </c>
      <c r="O52">
        <f t="shared" si="10"/>
        <v>6.074999999999995E-2</v>
      </c>
      <c r="P52">
        <f t="shared" si="5"/>
        <v>0.60749999999999726</v>
      </c>
      <c r="Q52">
        <f t="shared" si="6"/>
        <v>19.652796610169503</v>
      </c>
    </row>
    <row r="53" spans="1:17" x14ac:dyDescent="0.25">
      <c r="A53" s="34"/>
      <c r="B53" s="10">
        <v>0.29166666666666702</v>
      </c>
      <c r="C53" s="9">
        <v>1629</v>
      </c>
      <c r="D53" s="9"/>
      <c r="E53" s="9"/>
      <c r="F53" s="9">
        <v>0.81</v>
      </c>
      <c r="G53" s="16">
        <f t="shared" si="8"/>
        <v>21.060000000000006</v>
      </c>
      <c r="H53" s="16">
        <f t="shared" si="9"/>
        <v>8.1000000000000003E-2</v>
      </c>
      <c r="I53" s="5"/>
      <c r="J53" s="33">
        <f t="shared" si="1"/>
        <v>7</v>
      </c>
      <c r="K53">
        <f t="shared" si="2"/>
        <v>0</v>
      </c>
      <c r="L53">
        <f t="shared" si="3"/>
        <v>0</v>
      </c>
      <c r="M53">
        <f t="shared" si="4"/>
        <v>7</v>
      </c>
      <c r="N53">
        <f t="shared" si="0"/>
        <v>6.833333333333333</v>
      </c>
      <c r="O53">
        <f t="shared" si="10"/>
        <v>6.074999999999995E-2</v>
      </c>
      <c r="P53">
        <f t="shared" si="5"/>
        <v>0.6075000000000006</v>
      </c>
      <c r="Q53">
        <f t="shared" si="6"/>
        <v>20.260296610169505</v>
      </c>
    </row>
    <row r="54" spans="1:17" x14ac:dyDescent="0.25">
      <c r="A54" s="34"/>
      <c r="B54" s="10">
        <v>0.29861111111111099</v>
      </c>
      <c r="C54" s="9">
        <v>1620</v>
      </c>
      <c r="D54" s="9"/>
      <c r="E54" s="9"/>
      <c r="F54" s="9">
        <v>0</v>
      </c>
      <c r="G54" s="16">
        <f t="shared" si="8"/>
        <v>21.060000000000006</v>
      </c>
      <c r="H54" s="16">
        <f t="shared" si="9"/>
        <v>0</v>
      </c>
      <c r="I54" s="5"/>
      <c r="J54" s="33">
        <f t="shared" si="1"/>
        <v>7</v>
      </c>
      <c r="K54">
        <f t="shared" si="2"/>
        <v>10</v>
      </c>
      <c r="L54">
        <f t="shared" si="3"/>
        <v>0</v>
      </c>
      <c r="M54">
        <f t="shared" si="4"/>
        <v>7.166666666666667</v>
      </c>
      <c r="N54">
        <f t="shared" si="0"/>
        <v>7</v>
      </c>
      <c r="O54">
        <f t="shared" si="10"/>
        <v>6.074999999999995E-2</v>
      </c>
      <c r="P54">
        <f t="shared" si="5"/>
        <v>0.6075000000000006</v>
      </c>
      <c r="Q54">
        <f t="shared" si="6"/>
        <v>20.867796610169506</v>
      </c>
    </row>
    <row r="55" spans="1:17" x14ac:dyDescent="0.25">
      <c r="A55" s="34"/>
      <c r="B55" s="10">
        <v>0.30555555555555602</v>
      </c>
      <c r="C55" s="9">
        <v>1643</v>
      </c>
      <c r="D55" s="9"/>
      <c r="E55" s="9"/>
      <c r="F55" s="9">
        <v>0.81</v>
      </c>
      <c r="G55" s="16">
        <f t="shared" si="8"/>
        <v>21.870000000000005</v>
      </c>
      <c r="H55" s="16">
        <f t="shared" si="9"/>
        <v>8.1000000000000003E-2</v>
      </c>
      <c r="I55" s="5"/>
      <c r="J55" s="33">
        <f t="shared" ref="J55:J67" si="11">HOUR(B55)</f>
        <v>7</v>
      </c>
      <c r="K55">
        <f t="shared" ref="K55:K67" si="12">MINUTE(B55)</f>
        <v>20</v>
      </c>
      <c r="L55">
        <f t="shared" ref="L55:L67" si="13">SECOND(B55)</f>
        <v>0</v>
      </c>
      <c r="M55">
        <f t="shared" si="4"/>
        <v>7.333333333333333</v>
      </c>
      <c r="N55">
        <f t="shared" si="0"/>
        <v>7.1666666666666661</v>
      </c>
      <c r="O55">
        <f t="shared" si="10"/>
        <v>6.074999999999995E-2</v>
      </c>
      <c r="P55">
        <f t="shared" si="5"/>
        <v>0.60749999999999726</v>
      </c>
      <c r="Q55">
        <f t="shared" si="6"/>
        <v>21.475296610169504</v>
      </c>
    </row>
    <row r="56" spans="1:17" x14ac:dyDescent="0.25">
      <c r="A56" s="34"/>
      <c r="B56" s="10">
        <v>0.3125</v>
      </c>
      <c r="C56" s="9">
        <v>1678</v>
      </c>
      <c r="D56" s="9"/>
      <c r="E56" s="9"/>
      <c r="F56" s="9">
        <v>0.81</v>
      </c>
      <c r="G56" s="16">
        <f t="shared" si="8"/>
        <v>22.680000000000003</v>
      </c>
      <c r="H56" s="16">
        <f t="shared" si="9"/>
        <v>8.1000000000000003E-2</v>
      </c>
      <c r="I56" s="5"/>
      <c r="J56" s="33">
        <f t="shared" si="11"/>
        <v>7</v>
      </c>
      <c r="K56">
        <f t="shared" si="12"/>
        <v>30</v>
      </c>
      <c r="L56">
        <f t="shared" si="13"/>
        <v>0</v>
      </c>
      <c r="M56">
        <f t="shared" si="4"/>
        <v>7.5</v>
      </c>
      <c r="N56">
        <f t="shared" si="0"/>
        <v>7.333333333333333</v>
      </c>
      <c r="O56">
        <f t="shared" si="10"/>
        <v>6.074999999999995E-2</v>
      </c>
      <c r="P56">
        <f t="shared" si="5"/>
        <v>0.6075000000000006</v>
      </c>
      <c r="Q56">
        <f t="shared" si="6"/>
        <v>22.082796610169506</v>
      </c>
    </row>
    <row r="57" spans="1:17" x14ac:dyDescent="0.25">
      <c r="A57" s="34"/>
      <c r="B57" s="10">
        <v>0.31944444444444497</v>
      </c>
      <c r="C57" s="9">
        <v>1687</v>
      </c>
      <c r="D57" s="9"/>
      <c r="E57" s="9"/>
      <c r="F57" s="9">
        <v>0</v>
      </c>
      <c r="G57" s="16">
        <f t="shared" si="8"/>
        <v>22.680000000000003</v>
      </c>
      <c r="H57" s="16">
        <f t="shared" si="9"/>
        <v>0</v>
      </c>
      <c r="I57" s="5"/>
      <c r="J57" s="33">
        <f t="shared" si="11"/>
        <v>7</v>
      </c>
      <c r="K57">
        <f t="shared" si="12"/>
        <v>40</v>
      </c>
      <c r="L57">
        <f t="shared" si="13"/>
        <v>0</v>
      </c>
      <c r="M57">
        <f t="shared" si="4"/>
        <v>7.666666666666667</v>
      </c>
      <c r="N57">
        <f t="shared" si="0"/>
        <v>7.5</v>
      </c>
      <c r="O57">
        <f t="shared" si="10"/>
        <v>6.074999999999995E-2</v>
      </c>
      <c r="P57">
        <f t="shared" si="5"/>
        <v>0.6075000000000006</v>
      </c>
      <c r="Q57">
        <f t="shared" si="6"/>
        <v>22.690296610169508</v>
      </c>
    </row>
    <row r="58" spans="1:17" x14ac:dyDescent="0.25">
      <c r="A58" s="34"/>
      <c r="B58" s="10">
        <v>0.32638888888888901</v>
      </c>
      <c r="C58" s="9">
        <v>1705</v>
      </c>
      <c r="D58" s="9"/>
      <c r="E58" s="9"/>
      <c r="F58" s="9">
        <v>0.81</v>
      </c>
      <c r="G58" s="16">
        <f t="shared" si="8"/>
        <v>23.490000000000002</v>
      </c>
      <c r="H58" s="16">
        <f t="shared" si="9"/>
        <v>8.1000000000000003E-2</v>
      </c>
      <c r="I58" s="5"/>
      <c r="J58" s="33">
        <f t="shared" si="11"/>
        <v>7</v>
      </c>
      <c r="K58">
        <f t="shared" si="12"/>
        <v>50</v>
      </c>
      <c r="L58">
        <f t="shared" si="13"/>
        <v>0</v>
      </c>
      <c r="M58">
        <f t="shared" si="4"/>
        <v>7.833333333333333</v>
      </c>
      <c r="N58">
        <f t="shared" si="0"/>
        <v>7.6666666666666661</v>
      </c>
      <c r="O58">
        <f t="shared" si="10"/>
        <v>6.074999999999995E-2</v>
      </c>
      <c r="P58">
        <f t="shared" si="5"/>
        <v>0.60749999999999726</v>
      </c>
      <c r="Q58">
        <f t="shared" si="6"/>
        <v>23.297796610169506</v>
      </c>
    </row>
    <row r="59" spans="1:17" x14ac:dyDescent="0.25">
      <c r="A59" s="34"/>
      <c r="B59" s="10">
        <v>0.33333333333333298</v>
      </c>
      <c r="C59" s="9">
        <v>1703</v>
      </c>
      <c r="D59" s="9"/>
      <c r="E59" s="9"/>
      <c r="F59" s="9">
        <v>0.81</v>
      </c>
      <c r="G59" s="16">
        <f t="shared" si="8"/>
        <v>24.3</v>
      </c>
      <c r="H59" s="16">
        <f t="shared" si="9"/>
        <v>8.1000000000000003E-2</v>
      </c>
      <c r="I59" s="5"/>
      <c r="J59" s="33">
        <f t="shared" si="11"/>
        <v>8</v>
      </c>
      <c r="K59">
        <f t="shared" si="12"/>
        <v>0</v>
      </c>
      <c r="L59">
        <f t="shared" si="13"/>
        <v>0</v>
      </c>
      <c r="M59">
        <f t="shared" si="4"/>
        <v>8</v>
      </c>
      <c r="N59">
        <f t="shared" si="0"/>
        <v>7.833333333333333</v>
      </c>
      <c r="O59">
        <f t="shared" si="10"/>
        <v>6.074999999999995E-2</v>
      </c>
      <c r="P59">
        <f t="shared" si="5"/>
        <v>0.6075000000000006</v>
      </c>
      <c r="Q59">
        <f t="shared" si="6"/>
        <v>23.905296610169508</v>
      </c>
    </row>
    <row r="60" spans="1:17" x14ac:dyDescent="0.25">
      <c r="A60" s="34"/>
      <c r="B60" s="10">
        <v>0.34027777777777801</v>
      </c>
      <c r="C60" s="9">
        <v>1702</v>
      </c>
      <c r="D60" s="9"/>
      <c r="E60" s="9"/>
      <c r="F60" s="9">
        <v>0</v>
      </c>
      <c r="G60" s="16">
        <f t="shared" si="8"/>
        <v>24.3</v>
      </c>
      <c r="H60" s="16">
        <f t="shared" si="9"/>
        <v>0</v>
      </c>
      <c r="I60" s="5"/>
      <c r="J60" s="33">
        <f t="shared" si="11"/>
        <v>8</v>
      </c>
      <c r="K60">
        <f t="shared" si="12"/>
        <v>10</v>
      </c>
      <c r="L60">
        <f t="shared" si="13"/>
        <v>0</v>
      </c>
      <c r="M60">
        <f t="shared" si="4"/>
        <v>8.1666666666666661</v>
      </c>
      <c r="N60">
        <f t="shared" si="0"/>
        <v>7.9999999999999991</v>
      </c>
      <c r="O60">
        <f t="shared" si="10"/>
        <v>6.074999999999995E-2</v>
      </c>
      <c r="P60">
        <f t="shared" si="5"/>
        <v>0.60749999999999726</v>
      </c>
      <c r="Q60">
        <f t="shared" si="6"/>
        <v>24.512796610169506</v>
      </c>
    </row>
    <row r="61" spans="1:17" x14ac:dyDescent="0.25">
      <c r="A61" s="34"/>
      <c r="B61" s="10">
        <v>0.34722222222222099</v>
      </c>
      <c r="C61" s="9">
        <v>1719</v>
      </c>
      <c r="D61" s="9"/>
      <c r="E61" s="9"/>
      <c r="F61" s="9">
        <v>0.81</v>
      </c>
      <c r="G61" s="16">
        <f t="shared" si="8"/>
        <v>25.11</v>
      </c>
      <c r="H61" s="16">
        <f t="shared" si="9"/>
        <v>8.1000000000000003E-2</v>
      </c>
      <c r="I61" s="5"/>
      <c r="J61" s="33">
        <f t="shared" si="11"/>
        <v>8</v>
      </c>
      <c r="K61">
        <f t="shared" si="12"/>
        <v>20</v>
      </c>
      <c r="L61">
        <f t="shared" si="13"/>
        <v>0</v>
      </c>
      <c r="M61">
        <f t="shared" si="4"/>
        <v>8.3333333333333339</v>
      </c>
      <c r="N61">
        <f>M61-$M$11</f>
        <v>8.1666666666666679</v>
      </c>
      <c r="O61">
        <f t="shared" si="10"/>
        <v>6.074999999999995E-2</v>
      </c>
      <c r="P61">
        <f>O61*(N61-N60)*60</f>
        <v>0.60750000000000715</v>
      </c>
      <c r="Q61">
        <f>Q60+P61</f>
        <v>25.120296610169515</v>
      </c>
    </row>
    <row r="62" spans="1:17" x14ac:dyDescent="0.25">
      <c r="A62" s="34"/>
      <c r="B62" s="10">
        <v>0.35416666666666502</v>
      </c>
      <c r="C62" s="9">
        <v>1730</v>
      </c>
      <c r="D62" s="9"/>
      <c r="E62" s="9"/>
      <c r="F62" s="9">
        <v>0</v>
      </c>
      <c r="G62" s="16">
        <f t="shared" si="8"/>
        <v>25.11</v>
      </c>
      <c r="H62" s="16">
        <f t="shared" si="9"/>
        <v>0</v>
      </c>
      <c r="I62" s="5"/>
      <c r="J62" s="33">
        <f t="shared" si="11"/>
        <v>8</v>
      </c>
      <c r="K62">
        <f t="shared" si="12"/>
        <v>30</v>
      </c>
      <c r="L62">
        <f t="shared" si="13"/>
        <v>0</v>
      </c>
      <c r="M62">
        <f t="shared" ref="M62:M67" si="14">J62+(K62/60)+(L62/3600)</f>
        <v>8.5</v>
      </c>
      <c r="N62">
        <f t="shared" ref="N62:N67" si="15">M62-$M$11</f>
        <v>8.3333333333333339</v>
      </c>
      <c r="O62">
        <f t="shared" si="10"/>
        <v>6.074999999999995E-2</v>
      </c>
      <c r="P62">
        <f t="shared" ref="P62:P65" si="16">O62*(N62-N61)*60</f>
        <v>0.60749999999999726</v>
      </c>
      <c r="Q62">
        <f t="shared" ref="Q62:Q67" si="17">Q61+P62</f>
        <v>25.727796610169513</v>
      </c>
    </row>
    <row r="63" spans="1:17" x14ac:dyDescent="0.25">
      <c r="A63" s="34"/>
      <c r="B63" s="10">
        <v>0.361111111111109</v>
      </c>
      <c r="C63" s="9">
        <v>1780</v>
      </c>
      <c r="D63" s="9"/>
      <c r="E63" s="9"/>
      <c r="F63" s="9">
        <v>0.81</v>
      </c>
      <c r="G63" s="16">
        <f t="shared" si="8"/>
        <v>25.919999999999998</v>
      </c>
      <c r="H63" s="16">
        <f t="shared" si="9"/>
        <v>8.1000000000000003E-2</v>
      </c>
      <c r="I63" s="5"/>
      <c r="J63" s="33">
        <f t="shared" si="11"/>
        <v>8</v>
      </c>
      <c r="K63">
        <f t="shared" si="12"/>
        <v>40</v>
      </c>
      <c r="L63">
        <f t="shared" si="13"/>
        <v>0</v>
      </c>
      <c r="M63">
        <f t="shared" si="14"/>
        <v>8.6666666666666661</v>
      </c>
      <c r="N63">
        <f t="shared" si="15"/>
        <v>8.5</v>
      </c>
      <c r="O63">
        <f t="shared" si="10"/>
        <v>6.074999999999995E-2</v>
      </c>
      <c r="P63">
        <f t="shared" si="16"/>
        <v>0.60749999999999726</v>
      </c>
      <c r="Q63">
        <f t="shared" si="17"/>
        <v>26.335296610169511</v>
      </c>
    </row>
    <row r="64" spans="1:17" x14ac:dyDescent="0.25">
      <c r="A64" s="34"/>
      <c r="B64" s="10">
        <v>0.36805555555555303</v>
      </c>
      <c r="C64" s="9">
        <v>1779</v>
      </c>
      <c r="D64" s="9"/>
      <c r="E64" s="9"/>
      <c r="F64" s="9">
        <v>0.81</v>
      </c>
      <c r="G64" s="16">
        <f t="shared" si="8"/>
        <v>26.729999999999997</v>
      </c>
      <c r="H64" s="16">
        <f t="shared" si="9"/>
        <v>8.1000000000000003E-2</v>
      </c>
      <c r="I64" s="5"/>
      <c r="J64" s="33">
        <f t="shared" si="11"/>
        <v>8</v>
      </c>
      <c r="K64">
        <f t="shared" si="12"/>
        <v>50</v>
      </c>
      <c r="L64">
        <f t="shared" si="13"/>
        <v>0</v>
      </c>
      <c r="M64">
        <f t="shared" si="14"/>
        <v>8.8333333333333339</v>
      </c>
      <c r="N64">
        <f t="shared" si="15"/>
        <v>8.6666666666666679</v>
      </c>
      <c r="O64">
        <f t="shared" si="10"/>
        <v>6.074999999999995E-2</v>
      </c>
      <c r="P64">
        <f t="shared" si="16"/>
        <v>0.60750000000000381</v>
      </c>
      <c r="Q64">
        <f t="shared" si="17"/>
        <v>26.942796610169516</v>
      </c>
    </row>
    <row r="65" spans="1:17" x14ac:dyDescent="0.25">
      <c r="A65" s="34"/>
      <c r="B65" s="10">
        <v>0.374999999999997</v>
      </c>
      <c r="C65" s="9">
        <v>1808</v>
      </c>
      <c r="D65" s="9"/>
      <c r="E65" s="9"/>
      <c r="F65" s="9">
        <v>0.81</v>
      </c>
      <c r="G65" s="16">
        <f t="shared" si="8"/>
        <v>27.539999999999996</v>
      </c>
      <c r="H65" s="16">
        <f t="shared" si="9"/>
        <v>8.1000000000000003E-2</v>
      </c>
      <c r="I65" s="5"/>
      <c r="J65" s="33">
        <f t="shared" si="11"/>
        <v>9</v>
      </c>
      <c r="K65">
        <f t="shared" si="12"/>
        <v>0</v>
      </c>
      <c r="L65">
        <f t="shared" si="13"/>
        <v>0</v>
      </c>
      <c r="M65">
        <f t="shared" si="14"/>
        <v>9</v>
      </c>
      <c r="N65">
        <f t="shared" si="15"/>
        <v>8.8333333333333339</v>
      </c>
      <c r="O65">
        <f t="shared" si="10"/>
        <v>6.074999999999995E-2</v>
      </c>
      <c r="P65">
        <f t="shared" si="16"/>
        <v>0.60749999999999726</v>
      </c>
      <c r="Q65">
        <f t="shared" si="17"/>
        <v>27.550296610169514</v>
      </c>
    </row>
    <row r="66" spans="1:17" x14ac:dyDescent="0.25">
      <c r="A66" s="34"/>
      <c r="B66" s="10">
        <v>0.38194444444444098</v>
      </c>
      <c r="C66" s="9">
        <v>1836</v>
      </c>
      <c r="D66" s="9"/>
      <c r="E66" s="9"/>
      <c r="F66" s="9">
        <v>0.81</v>
      </c>
      <c r="G66" s="16">
        <f t="shared" si="8"/>
        <v>28.349999999999994</v>
      </c>
      <c r="H66" s="16">
        <f t="shared" si="9"/>
        <v>8.1000000000000003E-2</v>
      </c>
      <c r="I66" s="5"/>
      <c r="J66" s="33">
        <f t="shared" si="11"/>
        <v>9</v>
      </c>
      <c r="K66">
        <f t="shared" si="12"/>
        <v>10</v>
      </c>
      <c r="L66">
        <f t="shared" si="13"/>
        <v>0</v>
      </c>
      <c r="M66">
        <f t="shared" si="14"/>
        <v>9.1666666666666661</v>
      </c>
      <c r="N66">
        <f t="shared" si="15"/>
        <v>9</v>
      </c>
      <c r="O66">
        <f t="shared" si="10"/>
        <v>6.074999999999995E-2</v>
      </c>
      <c r="P66">
        <f>O66*(N66-N65)*60</f>
        <v>0.60749999999999726</v>
      </c>
      <c r="Q66">
        <f t="shared" si="17"/>
        <v>28.157796610169513</v>
      </c>
    </row>
    <row r="67" spans="1:17" x14ac:dyDescent="0.25">
      <c r="A67" s="34"/>
      <c r="B67" s="10">
        <v>0.38442129629629629</v>
      </c>
      <c r="C67" s="9"/>
      <c r="D67" s="9"/>
      <c r="E67" s="9"/>
      <c r="F67" s="9"/>
      <c r="G67" s="16"/>
      <c r="H67" s="16"/>
      <c r="I67" s="5" t="s">
        <v>56</v>
      </c>
      <c r="J67" s="33">
        <f t="shared" si="11"/>
        <v>9</v>
      </c>
      <c r="K67">
        <f t="shared" si="12"/>
        <v>13</v>
      </c>
      <c r="L67">
        <f t="shared" si="13"/>
        <v>34</v>
      </c>
      <c r="M67">
        <f t="shared" si="14"/>
        <v>9.2261111111111109</v>
      </c>
      <c r="N67">
        <f t="shared" si="15"/>
        <v>9.0594444444444449</v>
      </c>
      <c r="O67">
        <f t="shared" si="10"/>
        <v>6.074999999999995E-2</v>
      </c>
      <c r="P67">
        <f>O67*(N67-N66)*60</f>
        <v>0.21667500000000131</v>
      </c>
      <c r="Q67">
        <f t="shared" si="17"/>
        <v>28.374471610169515</v>
      </c>
    </row>
    <row r="68" spans="1:17" x14ac:dyDescent="0.25">
      <c r="A68" s="23"/>
      <c r="B68" s="10"/>
      <c r="C68" s="9"/>
      <c r="D68" s="5"/>
      <c r="E68" s="5"/>
      <c r="F68" s="9"/>
      <c r="G68" s="9"/>
      <c r="H68" s="9"/>
      <c r="I68" s="5"/>
      <c r="J68" s="33"/>
    </row>
    <row r="69" spans="1:17" ht="15.75" thickBot="1" x14ac:dyDescent="0.3">
      <c r="A69" s="23"/>
      <c r="B69" s="31"/>
      <c r="C69" s="9"/>
      <c r="D69" s="5"/>
      <c r="E69" s="5"/>
      <c r="F69" s="9"/>
      <c r="G69" s="9"/>
      <c r="H69" s="9"/>
      <c r="I69" s="5"/>
      <c r="J69" s="33"/>
    </row>
    <row r="70" spans="1:17" x14ac:dyDescent="0.25">
      <c r="A70" s="23"/>
      <c r="B70" s="10"/>
      <c r="C70" s="9"/>
      <c r="D70" s="5"/>
      <c r="E70" s="5"/>
      <c r="F70" s="9"/>
      <c r="G70" s="35" t="s">
        <v>45</v>
      </c>
      <c r="H70" s="36"/>
      <c r="I70" s="46">
        <v>28.349999999999994</v>
      </c>
      <c r="J70" s="37" t="s">
        <v>30</v>
      </c>
    </row>
    <row r="71" spans="1:17" x14ac:dyDescent="0.25">
      <c r="A71" s="23"/>
      <c r="B71" s="10"/>
      <c r="C71" s="9"/>
      <c r="D71" s="5"/>
      <c r="E71" s="5"/>
      <c r="F71" s="9"/>
      <c r="G71" s="25" t="s">
        <v>31</v>
      </c>
      <c r="H71" s="38" t="s">
        <v>46</v>
      </c>
      <c r="I71" s="39">
        <v>540</v>
      </c>
      <c r="J71" s="24" t="s">
        <v>32</v>
      </c>
    </row>
    <row r="72" spans="1:17" x14ac:dyDescent="0.25">
      <c r="A72" s="23"/>
      <c r="B72" s="10"/>
      <c r="C72" s="9"/>
      <c r="D72" s="5"/>
      <c r="E72" s="5"/>
      <c r="F72" s="9"/>
      <c r="G72" s="25" t="s">
        <v>33</v>
      </c>
      <c r="H72" s="38" t="s">
        <v>46</v>
      </c>
      <c r="I72" s="40">
        <v>5.2499999999999991E-2</v>
      </c>
      <c r="J72" s="24" t="s">
        <v>34</v>
      </c>
    </row>
    <row r="73" spans="1:17" x14ac:dyDescent="0.25">
      <c r="A73" s="23"/>
      <c r="B73" s="31"/>
      <c r="C73" s="9"/>
      <c r="D73" s="5"/>
      <c r="E73" s="5"/>
      <c r="F73" s="9"/>
      <c r="G73" s="25" t="s">
        <v>35</v>
      </c>
      <c r="H73" s="38" t="s">
        <v>46</v>
      </c>
      <c r="I73" s="39">
        <v>1836</v>
      </c>
      <c r="J73" s="24" t="s">
        <v>36</v>
      </c>
    </row>
    <row r="74" spans="1:17" ht="15.75" thickBot="1" x14ac:dyDescent="0.3">
      <c r="A74" s="23"/>
      <c r="B74" s="10"/>
      <c r="C74" s="9"/>
      <c r="D74" s="5"/>
      <c r="E74" s="5"/>
      <c r="F74" s="9"/>
      <c r="G74" s="26" t="s">
        <v>47</v>
      </c>
      <c r="H74" s="41" t="s">
        <v>46</v>
      </c>
      <c r="I74" s="42">
        <v>1840</v>
      </c>
      <c r="J74" s="30" t="s">
        <v>36</v>
      </c>
    </row>
    <row r="75" spans="1:17" x14ac:dyDescent="0.25">
      <c r="A75" s="23"/>
      <c r="B75" s="10"/>
      <c r="C75" s="9"/>
      <c r="D75" s="5"/>
      <c r="E75" s="5"/>
      <c r="F75" s="9"/>
      <c r="G75" s="9"/>
      <c r="H75" s="9"/>
      <c r="I75" s="5"/>
      <c r="J75" s="33"/>
    </row>
    <row r="76" spans="1:17" x14ac:dyDescent="0.25">
      <c r="A76" s="23"/>
      <c r="B76" s="31"/>
      <c r="C76" s="9"/>
      <c r="D76" s="5"/>
      <c r="E76" s="5"/>
      <c r="F76" s="9"/>
      <c r="G76" s="32"/>
      <c r="H76" s="9"/>
      <c r="I76" s="5"/>
      <c r="J76" s="33"/>
    </row>
    <row r="77" spans="1:17" x14ac:dyDescent="0.25">
      <c r="A77" s="23"/>
      <c r="B77" s="10"/>
      <c r="C77" s="9"/>
      <c r="D77" s="5"/>
      <c r="E77" s="5"/>
      <c r="F77" s="9"/>
      <c r="G77" s="9"/>
      <c r="H77" s="9"/>
      <c r="I77" s="5"/>
      <c r="J77" s="33"/>
    </row>
    <row r="78" spans="1:17" x14ac:dyDescent="0.25">
      <c r="A78" s="23"/>
      <c r="B78" s="10"/>
      <c r="C78" s="9"/>
      <c r="D78" s="5"/>
      <c r="E78" s="5"/>
      <c r="F78" s="9"/>
      <c r="G78" s="9"/>
      <c r="H78" s="9"/>
      <c r="I78" s="5"/>
      <c r="J78" s="33"/>
    </row>
    <row r="79" spans="1:17" x14ac:dyDescent="0.25">
      <c r="A79" s="23"/>
      <c r="B79" s="31"/>
      <c r="C79" s="9"/>
      <c r="D79" s="5"/>
      <c r="E79" s="5"/>
      <c r="F79" s="9"/>
      <c r="G79" s="32"/>
      <c r="H79" s="9"/>
      <c r="I79" s="5"/>
      <c r="J79" s="33"/>
    </row>
    <row r="80" spans="1:17" x14ac:dyDescent="0.25">
      <c r="A80" s="23"/>
      <c r="B80" s="10"/>
      <c r="C80" s="9"/>
      <c r="D80" s="5"/>
      <c r="E80" s="5"/>
      <c r="F80" s="9"/>
      <c r="G80" s="9"/>
      <c r="H80" s="9"/>
      <c r="I80" s="5"/>
      <c r="J80" s="33"/>
    </row>
    <row r="81" spans="1:10" x14ac:dyDescent="0.25">
      <c r="A81" s="25"/>
      <c r="F81" s="18"/>
      <c r="G81" s="18"/>
      <c r="H81" s="19"/>
      <c r="I81" s="24"/>
    </row>
    <row r="82" spans="1:10" x14ac:dyDescent="0.25">
      <c r="A82" s="25"/>
      <c r="F82" s="20"/>
      <c r="G82" s="20"/>
      <c r="H82" s="21"/>
      <c r="I82" s="24"/>
    </row>
    <row r="83" spans="1:10" x14ac:dyDescent="0.25">
      <c r="A83" s="25"/>
      <c r="F83" s="20"/>
      <c r="G83" s="20"/>
      <c r="H83" s="22"/>
      <c r="I83" s="24"/>
    </row>
    <row r="84" spans="1:10" x14ac:dyDescent="0.25">
      <c r="A84" s="25"/>
      <c r="F84" s="20"/>
      <c r="G84" s="20"/>
      <c r="H84" s="21"/>
      <c r="I84" s="24"/>
    </row>
    <row r="85" spans="1:10" ht="15.75" thickBot="1" x14ac:dyDescent="0.3">
      <c r="A85" s="26"/>
      <c r="B85" s="27"/>
      <c r="C85" s="27"/>
      <c r="D85" s="27"/>
      <c r="E85" s="27"/>
      <c r="F85" s="28"/>
      <c r="G85" s="28"/>
      <c r="H85" s="29"/>
      <c r="I85" s="30"/>
    </row>
    <row r="88" spans="1:10" x14ac:dyDescent="0.25">
      <c r="B88" s="52"/>
      <c r="C88" s="52"/>
      <c r="D88" s="52"/>
      <c r="E88" s="52"/>
      <c r="F88" s="52"/>
      <c r="G88" s="52"/>
      <c r="H88" s="52"/>
      <c r="I88" s="52"/>
      <c r="J88" s="52"/>
    </row>
    <row r="89" spans="1:10" x14ac:dyDescent="0.25">
      <c r="B89" s="52"/>
      <c r="C89" s="52"/>
      <c r="D89" s="52"/>
      <c r="E89" s="52"/>
      <c r="F89" s="52"/>
      <c r="G89" s="52"/>
      <c r="H89" s="52"/>
      <c r="I89" s="52"/>
      <c r="J89" s="52"/>
    </row>
    <row r="90" spans="1:10" x14ac:dyDescent="0.25">
      <c r="B90" s="52"/>
      <c r="C90" s="52"/>
      <c r="D90" s="52"/>
      <c r="E90" s="52"/>
      <c r="F90" s="52"/>
      <c r="G90" s="52"/>
      <c r="H90" s="52"/>
      <c r="I90" s="52"/>
      <c r="J90" s="52"/>
    </row>
    <row r="91" spans="1:10" x14ac:dyDescent="0.25">
      <c r="B91" s="52"/>
      <c r="C91" s="52"/>
      <c r="D91" s="52"/>
      <c r="E91" s="52"/>
      <c r="F91" s="52"/>
      <c r="G91" s="52"/>
      <c r="H91" s="52"/>
      <c r="I91" s="52"/>
      <c r="J91" s="52"/>
    </row>
    <row r="92" spans="1:10" x14ac:dyDescent="0.25">
      <c r="B92" s="52"/>
      <c r="C92" s="52"/>
      <c r="D92" s="52"/>
      <c r="E92" s="52"/>
      <c r="F92" s="52"/>
      <c r="G92" s="52"/>
      <c r="H92" s="52"/>
      <c r="I92" s="52"/>
      <c r="J92" s="52"/>
    </row>
    <row r="93" spans="1:10" x14ac:dyDescent="0.25">
      <c r="B93" s="52"/>
      <c r="C93" s="52"/>
      <c r="D93" s="52"/>
      <c r="E93" s="52"/>
      <c r="F93" s="52"/>
      <c r="G93" s="52"/>
      <c r="H93" s="52"/>
      <c r="I93" s="52"/>
      <c r="J93" s="52"/>
    </row>
    <row r="94" spans="1:10" x14ac:dyDescent="0.25">
      <c r="B94" s="52"/>
      <c r="C94" s="52"/>
      <c r="D94" s="52"/>
      <c r="E94" s="52"/>
      <c r="F94" s="52"/>
      <c r="G94" s="52"/>
      <c r="H94" s="52"/>
      <c r="I94" s="52"/>
      <c r="J94" s="52"/>
    </row>
    <row r="95" spans="1:10" x14ac:dyDescent="0.25">
      <c r="B95" s="52"/>
      <c r="C95" s="52"/>
      <c r="D95" s="52"/>
      <c r="E95" s="52"/>
      <c r="F95" s="52"/>
      <c r="G95" s="52"/>
      <c r="H95" s="52"/>
      <c r="I95" s="52"/>
      <c r="J95" s="52"/>
    </row>
    <row r="96" spans="1:10" x14ac:dyDescent="0.25">
      <c r="B96" s="52"/>
      <c r="C96" s="52"/>
      <c r="D96" s="52"/>
      <c r="E96" s="52"/>
      <c r="F96" s="52"/>
      <c r="G96" s="52"/>
      <c r="H96" s="52"/>
      <c r="I96" s="52"/>
      <c r="J96" s="52"/>
    </row>
    <row r="97" spans="2:10" x14ac:dyDescent="0.25">
      <c r="B97" s="52"/>
      <c r="C97" s="52"/>
      <c r="D97" s="52"/>
      <c r="E97" s="52"/>
      <c r="F97" s="52"/>
      <c r="G97" s="52"/>
      <c r="H97" s="52"/>
      <c r="I97" s="52"/>
      <c r="J97" s="52"/>
    </row>
    <row r="98" spans="2:10" x14ac:dyDescent="0.25">
      <c r="B98" s="52"/>
      <c r="C98" s="52"/>
      <c r="D98" s="52"/>
      <c r="E98" s="52"/>
      <c r="F98" s="52"/>
      <c r="G98" s="52"/>
      <c r="H98" s="52"/>
      <c r="I98" s="52"/>
      <c r="J98" s="52"/>
    </row>
    <row r="99" spans="2:10" x14ac:dyDescent="0.25">
      <c r="B99" s="52"/>
      <c r="C99" s="52"/>
      <c r="D99" s="52"/>
      <c r="E99" s="52"/>
      <c r="F99" s="52"/>
      <c r="G99" s="52"/>
      <c r="H99" s="52"/>
      <c r="I99" s="52"/>
      <c r="J99" s="52"/>
    </row>
    <row r="100" spans="2:10" x14ac:dyDescent="0.25">
      <c r="B100" s="52"/>
      <c r="C100" s="52"/>
      <c r="D100" s="52"/>
      <c r="E100" s="52"/>
      <c r="F100" s="52"/>
      <c r="G100" s="52"/>
      <c r="H100" s="52"/>
      <c r="I100" s="52"/>
      <c r="J100" s="52"/>
    </row>
    <row r="101" spans="2:10" x14ac:dyDescent="0.25">
      <c r="B101" s="52"/>
      <c r="C101" s="52"/>
      <c r="D101" s="52"/>
      <c r="E101" s="52"/>
      <c r="F101" s="52"/>
      <c r="G101" s="52"/>
      <c r="H101" s="52"/>
      <c r="I101" s="52"/>
      <c r="J101" s="52"/>
    </row>
    <row r="102" spans="2:10" x14ac:dyDescent="0.25">
      <c r="B102" s="52"/>
      <c r="C102" s="52"/>
      <c r="D102" s="52"/>
      <c r="E102" s="52"/>
      <c r="F102" s="52"/>
      <c r="G102" s="52"/>
      <c r="H102" s="52"/>
      <c r="I102" s="52"/>
      <c r="J102" s="52"/>
    </row>
    <row r="103" spans="2:10" x14ac:dyDescent="0.25">
      <c r="B103" s="52"/>
      <c r="C103" s="52"/>
      <c r="D103" s="52"/>
      <c r="E103" s="52"/>
      <c r="F103" s="52"/>
      <c r="G103" s="52"/>
      <c r="H103" s="52"/>
      <c r="I103" s="52"/>
      <c r="J103" s="52"/>
    </row>
    <row r="104" spans="2:10" x14ac:dyDescent="0.25">
      <c r="B104" s="52"/>
      <c r="C104" s="52"/>
      <c r="D104" s="52"/>
      <c r="E104" s="52"/>
      <c r="F104" s="52"/>
      <c r="G104" s="52"/>
      <c r="H104" s="52"/>
      <c r="I104" s="52"/>
      <c r="J104" s="52"/>
    </row>
    <row r="105" spans="2:10" x14ac:dyDescent="0.25">
      <c r="B105" s="52"/>
      <c r="C105" s="52"/>
      <c r="D105" s="52"/>
      <c r="E105" s="52"/>
      <c r="F105" s="52"/>
      <c r="G105" s="52"/>
      <c r="H105" s="52"/>
      <c r="I105" s="52"/>
      <c r="J105" s="52"/>
    </row>
    <row r="106" spans="2:10" x14ac:dyDescent="0.25">
      <c r="B106" s="52"/>
      <c r="C106" s="52"/>
      <c r="D106" s="52"/>
      <c r="E106" s="52"/>
      <c r="F106" s="52"/>
      <c r="G106" s="52"/>
      <c r="H106" s="52"/>
      <c r="I106" s="52"/>
      <c r="J106" s="52"/>
    </row>
  </sheetData>
  <mergeCells count="12">
    <mergeCell ref="D4:E4"/>
    <mergeCell ref="G4:H4"/>
    <mergeCell ref="A1:I1"/>
    <mergeCell ref="A2:I2"/>
    <mergeCell ref="B3:C3"/>
    <mergeCell ref="D3:E3"/>
    <mergeCell ref="G3:H3"/>
    <mergeCell ref="G5:H5"/>
    <mergeCell ref="G6:H6"/>
    <mergeCell ref="D7:E7"/>
    <mergeCell ref="F7:H7"/>
    <mergeCell ref="B88:J106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55AB-CDD7-4312-ADC0-F2B8B04416BA}">
  <dimension ref="A1:C10"/>
  <sheetViews>
    <sheetView tabSelected="1" workbookViewId="0">
      <selection activeCell="H13" sqref="H13"/>
    </sheetView>
  </sheetViews>
  <sheetFormatPr defaultRowHeight="15" x14ac:dyDescent="0.25"/>
  <cols>
    <col min="2" max="2" width="9.5703125" bestFit="1" customWidth="1"/>
    <col min="3" max="3" width="10.5703125" bestFit="1" customWidth="1"/>
  </cols>
  <sheetData>
    <row r="1" spans="1:3" x14ac:dyDescent="0.25">
      <c r="A1" t="s">
        <v>42</v>
      </c>
      <c r="B1" t="s">
        <v>37</v>
      </c>
      <c r="C1" t="s">
        <v>43</v>
      </c>
    </row>
    <row r="2" spans="1:3" x14ac:dyDescent="0.25">
      <c r="A2">
        <v>0</v>
      </c>
      <c r="B2" s="33">
        <v>0</v>
      </c>
      <c r="C2" s="33">
        <f>VLOOKUP(B2,Injection_Note!$N$11:$O$80,2,0)*9.06</f>
        <v>0</v>
      </c>
    </row>
    <row r="3" spans="1:3" x14ac:dyDescent="0.25">
      <c r="A3">
        <v>1</v>
      </c>
      <c r="B3" s="33">
        <v>0.16666666666666666</v>
      </c>
      <c r="C3" s="33">
        <f>VLOOKUP(B3,Injection_Note!$N$11:$O$80,2,0)*9.06</f>
        <v>2.2015800000000003</v>
      </c>
    </row>
    <row r="4" spans="1:3" x14ac:dyDescent="0.25">
      <c r="A4">
        <v>2</v>
      </c>
      <c r="B4" s="33">
        <v>5</v>
      </c>
      <c r="C4" s="33">
        <f>VLOOKUP(B4,Injection_Note!$N$11:$O$80,2,0)*9.06</f>
        <v>0.34827254237288158</v>
      </c>
    </row>
    <row r="5" spans="1:3" x14ac:dyDescent="0.25">
      <c r="A5">
        <v>3</v>
      </c>
      <c r="B5" s="33">
        <v>9.0594444444444449</v>
      </c>
      <c r="C5" s="33">
        <f>VLOOKUP(B5,Injection_Note!$N$11:$O$80,2,0)*9.06</f>
        <v>0.55039499999999952</v>
      </c>
    </row>
    <row r="6" spans="1:3" x14ac:dyDescent="0.25">
      <c r="B6" s="33"/>
      <c r="C6" s="33"/>
    </row>
    <row r="7" spans="1:3" x14ac:dyDescent="0.25">
      <c r="B7" s="33"/>
      <c r="C7" s="33"/>
    </row>
    <row r="8" spans="1:3" x14ac:dyDescent="0.25">
      <c r="B8" s="33"/>
      <c r="C8" s="33"/>
    </row>
    <row r="9" spans="1:3" x14ac:dyDescent="0.25">
      <c r="B9" s="33"/>
      <c r="C9" s="33"/>
    </row>
    <row r="10" spans="1:3" x14ac:dyDescent="0.25">
      <c r="B10" s="33"/>
      <c r="C10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06CD-624C-427E-AA4A-36C1D1514BBF}">
  <dimension ref="A1:D58"/>
  <sheetViews>
    <sheetView topLeftCell="A40" workbookViewId="0">
      <selection activeCell="H7" sqref="H7"/>
    </sheetView>
  </sheetViews>
  <sheetFormatPr defaultRowHeight="15" x14ac:dyDescent="0.25"/>
  <sheetData>
    <row r="1" spans="1:4" x14ac:dyDescent="0.25">
      <c r="A1" t="s">
        <v>38</v>
      </c>
      <c r="B1" t="s">
        <v>39</v>
      </c>
      <c r="C1" t="s">
        <v>40</v>
      </c>
      <c r="D1" t="s">
        <v>41</v>
      </c>
    </row>
    <row r="2" spans="1:4" x14ac:dyDescent="0.25">
      <c r="A2">
        <v>0</v>
      </c>
      <c r="B2">
        <v>0</v>
      </c>
      <c r="C2">
        <v>0</v>
      </c>
      <c r="D2">
        <f>C2*9.06</f>
        <v>0</v>
      </c>
    </row>
    <row r="3" spans="1:4" x14ac:dyDescent="0.25">
      <c r="A3">
        <v>8.3333333333333343E-2</v>
      </c>
      <c r="B3">
        <f>Injection_Note!H12*9.06</f>
        <v>2.9354400000000003</v>
      </c>
      <c r="C3">
        <v>0.24300000000000002</v>
      </c>
      <c r="D3">
        <f t="shared" ref="D3:D58" si="0">C3*9.06</f>
        <v>2.2015800000000003</v>
      </c>
    </row>
    <row r="4" spans="1:4" x14ac:dyDescent="0.25">
      <c r="A4">
        <v>0.16666666666666666</v>
      </c>
      <c r="B4">
        <f>Injection_Note!H13*9.06</f>
        <v>1.4677200000000001</v>
      </c>
      <c r="C4">
        <v>0.24300000000000002</v>
      </c>
      <c r="D4">
        <f t="shared" si="0"/>
        <v>2.2015800000000003</v>
      </c>
    </row>
    <row r="5" spans="1:4" x14ac:dyDescent="0.25">
      <c r="A5">
        <v>0.33333333333333337</v>
      </c>
      <c r="B5">
        <f>Injection_Note!H14*9.06</f>
        <v>0</v>
      </c>
      <c r="C5">
        <v>3.8440677966101719E-2</v>
      </c>
      <c r="D5">
        <f t="shared" si="0"/>
        <v>0.34827254237288158</v>
      </c>
    </row>
    <row r="6" spans="1:4" x14ac:dyDescent="0.25">
      <c r="A6">
        <v>0.5</v>
      </c>
      <c r="B6">
        <f>Injection_Note!H15*9.06</f>
        <v>0</v>
      </c>
      <c r="C6">
        <v>3.8440677966101719E-2</v>
      </c>
      <c r="D6">
        <f t="shared" si="0"/>
        <v>0.34827254237288158</v>
      </c>
    </row>
    <row r="7" spans="1:4" x14ac:dyDescent="0.25">
      <c r="A7">
        <v>0.66666666666666674</v>
      </c>
      <c r="B7">
        <f>Injection_Note!H16*9.06</f>
        <v>0.73386000000000007</v>
      </c>
      <c r="C7">
        <v>3.8440677966101719E-2</v>
      </c>
      <c r="D7">
        <f t="shared" si="0"/>
        <v>0.34827254237288158</v>
      </c>
    </row>
    <row r="8" spans="1:4" x14ac:dyDescent="0.25">
      <c r="A8">
        <v>0.83333333333333337</v>
      </c>
      <c r="B8">
        <f>Injection_Note!H17*9.06</f>
        <v>0</v>
      </c>
      <c r="C8">
        <v>3.8440677966101719E-2</v>
      </c>
      <c r="D8">
        <f t="shared" si="0"/>
        <v>0.34827254237288158</v>
      </c>
    </row>
    <row r="9" spans="1:4" x14ac:dyDescent="0.25">
      <c r="A9">
        <v>1</v>
      </c>
      <c r="B9">
        <f>Injection_Note!H18*9.06</f>
        <v>0.73386000000000007</v>
      </c>
      <c r="C9">
        <v>3.8440677966101719E-2</v>
      </c>
      <c r="D9">
        <f t="shared" si="0"/>
        <v>0.34827254237288158</v>
      </c>
    </row>
    <row r="10" spans="1:4" x14ac:dyDescent="0.25">
      <c r="A10">
        <v>1.1666666666666665</v>
      </c>
      <c r="B10">
        <f>Injection_Note!H19*9.06</f>
        <v>0.73386000000000007</v>
      </c>
      <c r="C10">
        <v>3.8440677966101719E-2</v>
      </c>
      <c r="D10">
        <f t="shared" si="0"/>
        <v>0.34827254237288158</v>
      </c>
    </row>
    <row r="11" spans="1:4" x14ac:dyDescent="0.25">
      <c r="A11">
        <v>1.3333333333333333</v>
      </c>
      <c r="B11">
        <f>Injection_Note!H20*9.06</f>
        <v>0</v>
      </c>
      <c r="C11">
        <v>3.8440677966101719E-2</v>
      </c>
      <c r="D11">
        <f t="shared" si="0"/>
        <v>0.34827254237288158</v>
      </c>
    </row>
    <row r="12" spans="1:4" x14ac:dyDescent="0.25">
      <c r="A12">
        <v>1.4999999999999998</v>
      </c>
      <c r="B12">
        <f>Injection_Note!H21*9.06</f>
        <v>0</v>
      </c>
      <c r="C12">
        <v>3.8440677966101719E-2</v>
      </c>
      <c r="D12">
        <f t="shared" si="0"/>
        <v>0.34827254237288158</v>
      </c>
    </row>
    <row r="13" spans="1:4" x14ac:dyDescent="0.25">
      <c r="A13">
        <v>1.6666666666666667</v>
      </c>
      <c r="B13">
        <f>Injection_Note!H22*9.06</f>
        <v>0.73386000000000007</v>
      </c>
      <c r="C13">
        <v>3.8440677966101719E-2</v>
      </c>
      <c r="D13">
        <f t="shared" si="0"/>
        <v>0.34827254237288158</v>
      </c>
    </row>
    <row r="14" spans="1:4" x14ac:dyDescent="0.25">
      <c r="A14">
        <v>1.8333333333333333</v>
      </c>
      <c r="B14">
        <f>Injection_Note!H23*9.06</f>
        <v>0.73386000000000007</v>
      </c>
      <c r="C14">
        <v>3.8440677966101719E-2</v>
      </c>
      <c r="D14">
        <f t="shared" si="0"/>
        <v>0.34827254237288158</v>
      </c>
    </row>
    <row r="15" spans="1:4" x14ac:dyDescent="0.25">
      <c r="A15">
        <v>1.9999999999999998</v>
      </c>
      <c r="B15">
        <f>Injection_Note!H24*9.06</f>
        <v>0</v>
      </c>
      <c r="C15">
        <v>3.8440677966101719E-2</v>
      </c>
      <c r="D15">
        <f t="shared" si="0"/>
        <v>0.34827254237288158</v>
      </c>
    </row>
    <row r="16" spans="1:4" x14ac:dyDescent="0.25">
      <c r="A16">
        <v>2.166666666666667</v>
      </c>
      <c r="B16">
        <f>Injection_Note!H25*9.06</f>
        <v>0.73386000000000007</v>
      </c>
      <c r="C16">
        <v>3.8440677966101719E-2</v>
      </c>
      <c r="D16">
        <f t="shared" si="0"/>
        <v>0.34827254237288158</v>
      </c>
    </row>
    <row r="17" spans="1:4" x14ac:dyDescent="0.25">
      <c r="A17">
        <v>2.3333333333333335</v>
      </c>
      <c r="B17">
        <f>Injection_Note!H26*9.06</f>
        <v>0</v>
      </c>
      <c r="C17">
        <v>3.8440677966101719E-2</v>
      </c>
      <c r="D17">
        <f t="shared" si="0"/>
        <v>0.34827254237288158</v>
      </c>
    </row>
    <row r="18" spans="1:4" x14ac:dyDescent="0.25">
      <c r="A18">
        <v>2.5</v>
      </c>
      <c r="B18">
        <f>Injection_Note!H27*9.06</f>
        <v>0</v>
      </c>
      <c r="C18">
        <v>3.8440677966101719E-2</v>
      </c>
      <c r="D18">
        <f t="shared" si="0"/>
        <v>0.34827254237288158</v>
      </c>
    </row>
    <row r="19" spans="1:4" x14ac:dyDescent="0.25">
      <c r="A19">
        <v>2.666666666666667</v>
      </c>
      <c r="B19">
        <f>Injection_Note!H28*9.06</f>
        <v>0</v>
      </c>
      <c r="C19">
        <v>3.8440677966101719E-2</v>
      </c>
      <c r="D19">
        <f t="shared" si="0"/>
        <v>0.34827254237288158</v>
      </c>
    </row>
    <row r="20" spans="1:4" x14ac:dyDescent="0.25">
      <c r="A20">
        <v>2.8333333333333335</v>
      </c>
      <c r="B20">
        <f>Injection_Note!H29*9.06</f>
        <v>0.73386000000000007</v>
      </c>
      <c r="C20">
        <v>3.8440677966101719E-2</v>
      </c>
      <c r="D20">
        <f t="shared" si="0"/>
        <v>0.34827254237288158</v>
      </c>
    </row>
    <row r="21" spans="1:4" x14ac:dyDescent="0.25">
      <c r="A21">
        <v>3</v>
      </c>
      <c r="B21">
        <f>Injection_Note!H30*9.06</f>
        <v>0</v>
      </c>
      <c r="C21">
        <v>3.8440677966101719E-2</v>
      </c>
      <c r="D21">
        <f t="shared" si="0"/>
        <v>0.34827254237288158</v>
      </c>
    </row>
    <row r="22" spans="1:4" x14ac:dyDescent="0.25">
      <c r="A22">
        <v>3.166666666666667</v>
      </c>
      <c r="B22">
        <f>Injection_Note!H31*9.06</f>
        <v>0.73386000000000007</v>
      </c>
      <c r="C22">
        <v>3.8440677966101719E-2</v>
      </c>
      <c r="D22">
        <f t="shared" si="0"/>
        <v>0.34827254237288158</v>
      </c>
    </row>
    <row r="23" spans="1:4" x14ac:dyDescent="0.25">
      <c r="A23">
        <v>3.3333333333333335</v>
      </c>
      <c r="B23">
        <f>Injection_Note!H32*9.06</f>
        <v>0.73386000000000007</v>
      </c>
      <c r="C23">
        <v>3.8440677966101719E-2</v>
      </c>
      <c r="D23">
        <f t="shared" si="0"/>
        <v>0.34827254237288158</v>
      </c>
    </row>
    <row r="24" spans="1:4" x14ac:dyDescent="0.25">
      <c r="A24">
        <v>3.5</v>
      </c>
      <c r="B24">
        <f>Injection_Note!H33*9.06</f>
        <v>0</v>
      </c>
      <c r="C24">
        <v>3.8440677966101719E-2</v>
      </c>
      <c r="D24">
        <f t="shared" si="0"/>
        <v>0.34827254237288158</v>
      </c>
    </row>
    <row r="25" spans="1:4" x14ac:dyDescent="0.25">
      <c r="A25">
        <v>3.666666666666667</v>
      </c>
      <c r="B25">
        <f>Injection_Note!H34*9.06</f>
        <v>0.73386000000000007</v>
      </c>
      <c r="C25">
        <v>3.8440677966101719E-2</v>
      </c>
      <c r="D25">
        <f t="shared" si="0"/>
        <v>0.34827254237288158</v>
      </c>
    </row>
    <row r="26" spans="1:4" x14ac:dyDescent="0.25">
      <c r="A26">
        <v>3.8333333333333335</v>
      </c>
      <c r="B26">
        <f>Injection_Note!H35*9.06</f>
        <v>0</v>
      </c>
      <c r="C26">
        <v>3.8440677966101719E-2</v>
      </c>
      <c r="D26">
        <f t="shared" si="0"/>
        <v>0.34827254237288158</v>
      </c>
    </row>
    <row r="27" spans="1:4" x14ac:dyDescent="0.25">
      <c r="A27">
        <v>4</v>
      </c>
      <c r="B27">
        <f>Injection_Note!H36*9.06</f>
        <v>1.4677200000000001</v>
      </c>
      <c r="C27">
        <v>3.8440677966101719E-2</v>
      </c>
      <c r="D27">
        <f t="shared" si="0"/>
        <v>0.34827254237288158</v>
      </c>
    </row>
    <row r="28" spans="1:4" x14ac:dyDescent="0.25">
      <c r="A28">
        <v>4.1666666666666661</v>
      </c>
      <c r="B28">
        <f>Injection_Note!H37*9.06</f>
        <v>0</v>
      </c>
      <c r="C28">
        <v>3.8440677966101719E-2</v>
      </c>
      <c r="D28">
        <f t="shared" si="0"/>
        <v>0.34827254237288158</v>
      </c>
    </row>
    <row r="29" spans="1:4" x14ac:dyDescent="0.25">
      <c r="A29">
        <v>4.333333333333333</v>
      </c>
      <c r="B29">
        <f>Injection_Note!H38*9.06</f>
        <v>0</v>
      </c>
      <c r="C29">
        <v>3.8440677966101719E-2</v>
      </c>
      <c r="D29">
        <f t="shared" si="0"/>
        <v>0.34827254237288158</v>
      </c>
    </row>
    <row r="30" spans="1:4" x14ac:dyDescent="0.25">
      <c r="A30">
        <v>4.5</v>
      </c>
      <c r="B30">
        <f>Injection_Note!H39*9.06</f>
        <v>0.73386000000000007</v>
      </c>
      <c r="C30">
        <v>3.8440677966101719E-2</v>
      </c>
      <c r="D30">
        <f t="shared" si="0"/>
        <v>0.34827254237288158</v>
      </c>
    </row>
    <row r="31" spans="1:4" x14ac:dyDescent="0.25">
      <c r="A31">
        <v>4.6666666666666661</v>
      </c>
      <c r="B31">
        <f>Injection_Note!H40*9.06</f>
        <v>0</v>
      </c>
      <c r="C31">
        <v>3.8440677966101719E-2</v>
      </c>
      <c r="D31">
        <f t="shared" si="0"/>
        <v>0.34827254237288158</v>
      </c>
    </row>
    <row r="32" spans="1:4" x14ac:dyDescent="0.25">
      <c r="A32">
        <v>4.833333333333333</v>
      </c>
      <c r="B32">
        <f>Injection_Note!H41*9.06</f>
        <v>0</v>
      </c>
      <c r="C32">
        <v>3.8440677966101719E-2</v>
      </c>
      <c r="D32">
        <f t="shared" si="0"/>
        <v>0.34827254237288158</v>
      </c>
    </row>
    <row r="33" spans="1:4" x14ac:dyDescent="0.25">
      <c r="A33">
        <v>5</v>
      </c>
      <c r="B33">
        <f>Injection_Note!H42*9.06</f>
        <v>0.73386000000000007</v>
      </c>
      <c r="C33">
        <v>3.8440677966101719E-2</v>
      </c>
      <c r="D33">
        <f t="shared" si="0"/>
        <v>0.34827254237288158</v>
      </c>
    </row>
    <row r="34" spans="1:4" x14ac:dyDescent="0.25">
      <c r="A34">
        <v>5.1666666666666661</v>
      </c>
      <c r="B34">
        <f>Injection_Note!H43*9.06</f>
        <v>1.4677200000000001</v>
      </c>
      <c r="C34">
        <v>6.074999999999995E-2</v>
      </c>
      <c r="D34">
        <f t="shared" si="0"/>
        <v>0.55039499999999952</v>
      </c>
    </row>
    <row r="35" spans="1:4" x14ac:dyDescent="0.25">
      <c r="A35">
        <v>5.333333333333333</v>
      </c>
      <c r="B35">
        <f>Injection_Note!H44*9.06</f>
        <v>0</v>
      </c>
      <c r="C35">
        <v>6.074999999999995E-2</v>
      </c>
      <c r="D35">
        <f t="shared" si="0"/>
        <v>0.55039499999999952</v>
      </c>
    </row>
    <row r="36" spans="1:4" x14ac:dyDescent="0.25">
      <c r="A36">
        <v>5.5</v>
      </c>
      <c r="B36">
        <f>Injection_Note!H45*9.06</f>
        <v>0</v>
      </c>
      <c r="C36">
        <v>6.074999999999995E-2</v>
      </c>
      <c r="D36">
        <f t="shared" si="0"/>
        <v>0.55039499999999952</v>
      </c>
    </row>
    <row r="37" spans="1:4" x14ac:dyDescent="0.25">
      <c r="A37">
        <v>5.6666666666666661</v>
      </c>
      <c r="B37">
        <f>Injection_Note!H46*9.06</f>
        <v>1.4677200000000001</v>
      </c>
      <c r="C37">
        <v>6.074999999999995E-2</v>
      </c>
      <c r="D37">
        <f t="shared" si="0"/>
        <v>0.55039499999999952</v>
      </c>
    </row>
    <row r="38" spans="1:4" x14ac:dyDescent="0.25">
      <c r="A38">
        <v>5.833333333333333</v>
      </c>
      <c r="B38">
        <f>Injection_Note!H47*9.06</f>
        <v>0.73386000000000007</v>
      </c>
      <c r="C38">
        <v>6.074999999999995E-2</v>
      </c>
      <c r="D38">
        <f t="shared" si="0"/>
        <v>0.55039499999999952</v>
      </c>
    </row>
    <row r="39" spans="1:4" x14ac:dyDescent="0.25">
      <c r="A39">
        <v>6</v>
      </c>
      <c r="B39">
        <f>Injection_Note!H48*9.06</f>
        <v>0.73386000000000007</v>
      </c>
      <c r="C39">
        <v>6.074999999999995E-2</v>
      </c>
      <c r="D39">
        <f t="shared" si="0"/>
        <v>0.55039499999999952</v>
      </c>
    </row>
    <row r="40" spans="1:4" x14ac:dyDescent="0.25">
      <c r="A40">
        <v>6.1666666666666661</v>
      </c>
      <c r="B40">
        <f>Injection_Note!H49*9.06</f>
        <v>0</v>
      </c>
      <c r="C40">
        <v>6.074999999999995E-2</v>
      </c>
      <c r="D40">
        <f t="shared" si="0"/>
        <v>0.55039499999999952</v>
      </c>
    </row>
    <row r="41" spans="1:4" x14ac:dyDescent="0.25">
      <c r="A41">
        <v>6.333333333333333</v>
      </c>
      <c r="B41">
        <f>Injection_Note!H50*9.06</f>
        <v>0</v>
      </c>
      <c r="C41">
        <v>6.074999999999995E-2</v>
      </c>
      <c r="D41">
        <f t="shared" si="0"/>
        <v>0.55039499999999952</v>
      </c>
    </row>
    <row r="42" spans="1:4" x14ac:dyDescent="0.25">
      <c r="A42">
        <v>6.5</v>
      </c>
      <c r="B42">
        <f>Injection_Note!H51*9.06</f>
        <v>1.4677200000000001</v>
      </c>
      <c r="C42">
        <v>6.074999999999995E-2</v>
      </c>
      <c r="D42">
        <f t="shared" si="0"/>
        <v>0.55039499999999952</v>
      </c>
    </row>
    <row r="43" spans="1:4" x14ac:dyDescent="0.25">
      <c r="A43">
        <v>6.6666666666666661</v>
      </c>
      <c r="B43">
        <f>Injection_Note!H52*9.06</f>
        <v>0</v>
      </c>
      <c r="C43">
        <v>6.074999999999995E-2</v>
      </c>
      <c r="D43">
        <f t="shared" si="0"/>
        <v>0.55039499999999952</v>
      </c>
    </row>
    <row r="44" spans="1:4" x14ac:dyDescent="0.25">
      <c r="A44">
        <v>6.833333333333333</v>
      </c>
      <c r="B44">
        <f>Injection_Note!H53*9.06</f>
        <v>0.73386000000000007</v>
      </c>
      <c r="C44">
        <v>6.074999999999995E-2</v>
      </c>
      <c r="D44">
        <f t="shared" si="0"/>
        <v>0.55039499999999952</v>
      </c>
    </row>
    <row r="45" spans="1:4" x14ac:dyDescent="0.25">
      <c r="A45">
        <v>7</v>
      </c>
      <c r="B45">
        <f>Injection_Note!H54*9.06</f>
        <v>0</v>
      </c>
      <c r="C45">
        <v>6.074999999999995E-2</v>
      </c>
      <c r="D45">
        <f t="shared" si="0"/>
        <v>0.55039499999999952</v>
      </c>
    </row>
    <row r="46" spans="1:4" x14ac:dyDescent="0.25">
      <c r="A46">
        <v>7.1666666666666661</v>
      </c>
      <c r="B46">
        <f>Injection_Note!H55*9.06</f>
        <v>0.73386000000000007</v>
      </c>
      <c r="C46">
        <v>6.074999999999995E-2</v>
      </c>
      <c r="D46">
        <f t="shared" si="0"/>
        <v>0.55039499999999952</v>
      </c>
    </row>
    <row r="47" spans="1:4" x14ac:dyDescent="0.25">
      <c r="A47">
        <v>7.333333333333333</v>
      </c>
      <c r="B47">
        <f>Injection_Note!H56*9.06</f>
        <v>0.73386000000000007</v>
      </c>
      <c r="C47">
        <v>6.074999999999995E-2</v>
      </c>
      <c r="D47">
        <f t="shared" si="0"/>
        <v>0.55039499999999952</v>
      </c>
    </row>
    <row r="48" spans="1:4" x14ac:dyDescent="0.25">
      <c r="A48">
        <v>7.5</v>
      </c>
      <c r="B48">
        <f>Injection_Note!H57*9.06</f>
        <v>0</v>
      </c>
      <c r="C48">
        <v>6.074999999999995E-2</v>
      </c>
      <c r="D48">
        <f t="shared" si="0"/>
        <v>0.55039499999999952</v>
      </c>
    </row>
    <row r="49" spans="1:4" x14ac:dyDescent="0.25">
      <c r="A49">
        <v>7.6666666666666661</v>
      </c>
      <c r="B49">
        <f>Injection_Note!H58*9.06</f>
        <v>0.73386000000000007</v>
      </c>
      <c r="C49">
        <v>6.074999999999995E-2</v>
      </c>
      <c r="D49">
        <f t="shared" si="0"/>
        <v>0.55039499999999952</v>
      </c>
    </row>
    <row r="50" spans="1:4" x14ac:dyDescent="0.25">
      <c r="A50">
        <v>7.833333333333333</v>
      </c>
      <c r="B50">
        <f>Injection_Note!H59*9.06</f>
        <v>0.73386000000000007</v>
      </c>
      <c r="C50">
        <v>6.074999999999995E-2</v>
      </c>
      <c r="D50">
        <f t="shared" si="0"/>
        <v>0.55039499999999952</v>
      </c>
    </row>
    <row r="51" spans="1:4" x14ac:dyDescent="0.25">
      <c r="A51">
        <v>7.9999999999999991</v>
      </c>
      <c r="B51">
        <f>Injection_Note!H60*9.06</f>
        <v>0</v>
      </c>
      <c r="C51">
        <v>6.074999999999995E-2</v>
      </c>
      <c r="D51">
        <f t="shared" si="0"/>
        <v>0.55039499999999952</v>
      </c>
    </row>
    <row r="52" spans="1:4" x14ac:dyDescent="0.25">
      <c r="A52">
        <v>8.1666666666666679</v>
      </c>
      <c r="B52">
        <f>Injection_Note!H61*9.06</f>
        <v>0.73386000000000007</v>
      </c>
      <c r="C52">
        <v>6.074999999999995E-2</v>
      </c>
      <c r="D52">
        <f t="shared" si="0"/>
        <v>0.55039499999999952</v>
      </c>
    </row>
    <row r="53" spans="1:4" x14ac:dyDescent="0.25">
      <c r="A53">
        <v>8.3333333333333339</v>
      </c>
      <c r="B53">
        <f>Injection_Note!H62*9.06</f>
        <v>0</v>
      </c>
      <c r="C53">
        <v>6.074999999999995E-2</v>
      </c>
      <c r="D53">
        <f t="shared" si="0"/>
        <v>0.55039499999999952</v>
      </c>
    </row>
    <row r="54" spans="1:4" x14ac:dyDescent="0.25">
      <c r="A54">
        <v>8.5</v>
      </c>
      <c r="B54">
        <f>Injection_Note!H63*9.06</f>
        <v>0.73386000000000007</v>
      </c>
      <c r="C54">
        <v>6.074999999999995E-2</v>
      </c>
      <c r="D54">
        <f t="shared" si="0"/>
        <v>0.55039499999999952</v>
      </c>
    </row>
    <row r="55" spans="1:4" x14ac:dyDescent="0.25">
      <c r="A55">
        <v>8.6666666666666679</v>
      </c>
      <c r="B55">
        <f>Injection_Note!H64*9.06</f>
        <v>0.73386000000000007</v>
      </c>
      <c r="C55">
        <v>6.074999999999995E-2</v>
      </c>
      <c r="D55">
        <f t="shared" si="0"/>
        <v>0.55039499999999952</v>
      </c>
    </row>
    <row r="56" spans="1:4" x14ac:dyDescent="0.25">
      <c r="A56">
        <v>8.8333333333333339</v>
      </c>
      <c r="B56">
        <f>Injection_Note!H65*9.06</f>
        <v>0.73386000000000007</v>
      </c>
      <c r="C56">
        <v>6.074999999999995E-2</v>
      </c>
      <c r="D56">
        <f t="shared" si="0"/>
        <v>0.55039499999999952</v>
      </c>
    </row>
    <row r="57" spans="1:4" x14ac:dyDescent="0.25">
      <c r="A57">
        <v>9</v>
      </c>
      <c r="B57">
        <f>Injection_Note!H66*9.06</f>
        <v>0.73386000000000007</v>
      </c>
      <c r="C57">
        <v>6.074999999999995E-2</v>
      </c>
      <c r="D57">
        <f t="shared" si="0"/>
        <v>0.55039499999999952</v>
      </c>
    </row>
    <row r="58" spans="1:4" x14ac:dyDescent="0.25">
      <c r="A58">
        <v>9.0594444444444449</v>
      </c>
      <c r="B58">
        <f>Injection_Note!H67*9.06</f>
        <v>0</v>
      </c>
      <c r="C58">
        <v>6.074999999999995E-2</v>
      </c>
      <c r="D58">
        <f t="shared" si="0"/>
        <v>0.55039499999999952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6ABA-912B-40B5-89DB-C4F42C3A699F}">
  <dimension ref="A1:H10"/>
  <sheetViews>
    <sheetView workbookViewId="0">
      <selection sqref="A1:C10"/>
    </sheetView>
  </sheetViews>
  <sheetFormatPr defaultRowHeight="15" x14ac:dyDescent="0.25"/>
  <cols>
    <col min="2" max="2" width="9.5703125" bestFit="1" customWidth="1"/>
    <col min="3" max="3" width="10.5703125" bestFit="1" customWidth="1"/>
  </cols>
  <sheetData>
    <row r="1" spans="1:8" x14ac:dyDescent="0.25">
      <c r="A1" t="s">
        <v>42</v>
      </c>
      <c r="B1" t="s">
        <v>37</v>
      </c>
      <c r="C1" t="s">
        <v>43</v>
      </c>
    </row>
    <row r="2" spans="1:8" x14ac:dyDescent="0.25">
      <c r="A2">
        <v>0</v>
      </c>
      <c r="B2" s="33">
        <v>0</v>
      </c>
      <c r="C2" s="33">
        <f>VLOOKUP(B2,Injection_Note!$N$11:$O$80,2,0)*9.06</f>
        <v>0</v>
      </c>
    </row>
    <row r="3" spans="1:8" x14ac:dyDescent="0.25">
      <c r="A3">
        <v>1</v>
      </c>
      <c r="B3" s="33">
        <v>1.1666666666666665</v>
      </c>
      <c r="C3" s="33">
        <f>VLOOKUP(B3,Injection_Note!$N$11:$O$80,2,0)*9.06</f>
        <v>0.34827254237288158</v>
      </c>
    </row>
    <row r="4" spans="1:8" x14ac:dyDescent="0.25">
      <c r="A4">
        <v>2</v>
      </c>
      <c r="B4" s="33">
        <v>1.6666666666666665</v>
      </c>
      <c r="C4" s="33" t="e">
        <f>VLOOKUP(B4,Injection_Note!$N$11:$O$80,2,0)*9.06</f>
        <v>#N/A</v>
      </c>
    </row>
    <row r="5" spans="1:8" x14ac:dyDescent="0.25">
      <c r="A5">
        <v>3</v>
      </c>
      <c r="B5" s="33">
        <f>Injection_Note!N26</f>
        <v>2.3333333333333335</v>
      </c>
      <c r="C5" s="33">
        <f>VLOOKUP(B5,Injection_Note!$N$11:$O$80,2,0)*9.06</f>
        <v>0.34827254237288158</v>
      </c>
    </row>
    <row r="6" spans="1:8" x14ac:dyDescent="0.25">
      <c r="A6">
        <v>4</v>
      </c>
      <c r="B6" s="33">
        <f>Injection_Note!N33</f>
        <v>3.5</v>
      </c>
      <c r="C6" s="33">
        <f>VLOOKUP(B6,Injection_Note!$N$11:$O$80,2,0)*9.06</f>
        <v>0.34827254237288158</v>
      </c>
      <c r="H6">
        <f>C3*48.90815568</f>
        <v>17.033367721442289</v>
      </c>
    </row>
    <row r="7" spans="1:8" x14ac:dyDescent="0.25">
      <c r="A7">
        <v>7</v>
      </c>
      <c r="B7" s="33">
        <f>Injection_Note!N58</f>
        <v>7.6666666666666661</v>
      </c>
      <c r="C7" s="33">
        <f>VLOOKUP(B7,Injection_Note!$N$11:$O$80,2,0)*9.06</f>
        <v>0.55039499999999952</v>
      </c>
    </row>
    <row r="8" spans="1:8" x14ac:dyDescent="0.25">
      <c r="A8">
        <v>6</v>
      </c>
      <c r="B8" s="33">
        <f>Injection_Note!N64</f>
        <v>8.6666666666666679</v>
      </c>
      <c r="C8" s="33">
        <f>VLOOKUP(B8,Injection_Note!$N$11:$O$80,2,0)*9.06</f>
        <v>0.55039499999999952</v>
      </c>
    </row>
    <row r="9" spans="1:8" x14ac:dyDescent="0.25">
      <c r="A9">
        <v>7</v>
      </c>
      <c r="B9" s="33">
        <f>Injection_Note!N68</f>
        <v>0</v>
      </c>
      <c r="C9" s="33">
        <f>VLOOKUP(B9,Injection_Note!$N$11:$O$80,2,0)*9.06</f>
        <v>0</v>
      </c>
    </row>
    <row r="10" spans="1:8" x14ac:dyDescent="0.25">
      <c r="A10">
        <v>8</v>
      </c>
      <c r="B10" s="33">
        <f>Injection_Note!N80</f>
        <v>0</v>
      </c>
      <c r="C10" s="33">
        <f>VLOOKUP(B10,Injection_Note!$N$11:$O$80,2,0)*9.06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Information</vt:lpstr>
      <vt:lpstr>Injection_Note</vt:lpstr>
      <vt:lpstr>Rate_Schedule</vt:lpstr>
      <vt:lpstr>Injection_Schedule</vt:lpstr>
      <vt:lpstr>Rate_Schedule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Upadhyay</dc:creator>
  <cp:lastModifiedBy>Rajeev Upadhyay</cp:lastModifiedBy>
  <dcterms:created xsi:type="dcterms:W3CDTF">2023-10-08T05:32:08Z</dcterms:created>
  <dcterms:modified xsi:type="dcterms:W3CDTF">2024-07-13T11:54:53Z</dcterms:modified>
</cp:coreProperties>
</file>